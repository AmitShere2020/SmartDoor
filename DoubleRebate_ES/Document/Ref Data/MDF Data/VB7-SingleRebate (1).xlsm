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jay\Downloads\"/>
    </mc:Choice>
  </mc:AlternateContent>
  <xr:revisionPtr revIDLastSave="0" documentId="13_ncr:1_{50E71237-BB47-45E5-9DE5-5EA22EC8431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ofile" sheetId="1" r:id="rId1"/>
    <sheet name="details" sheetId="2" r:id="rId2"/>
    <sheet name="data" sheetId="4" r:id="rId3"/>
    <sheet name="Sheet1" sheetId="6" r:id="rId4"/>
    <sheet name="dwg" sheetId="7" r:id="rId5"/>
  </sheets>
  <definedNames>
    <definedName name="_xlnm._FilterDatabase" localSheetId="1" hidden="1">details!$A$2:$P$7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3" i="1" l="1"/>
  <c r="Y22" i="7"/>
  <c r="Y21" i="7"/>
  <c r="G113" i="7"/>
  <c r="G112" i="7"/>
  <c r="G111" i="7"/>
  <c r="G110" i="7"/>
  <c r="N91" i="7"/>
  <c r="BY36" i="7"/>
  <c r="BM70" i="7"/>
  <c r="H7" i="7"/>
  <c r="BH65" i="7" s="1"/>
  <c r="AI52" i="7" s="1"/>
  <c r="CA64" i="7" l="1"/>
  <c r="I39" i="7"/>
  <c r="G39" i="7"/>
  <c r="AA6" i="1"/>
  <c r="Z35" i="2" s="1"/>
  <c r="U31" i="2"/>
  <c r="N81" i="7"/>
  <c r="P10" i="2"/>
  <c r="I31" i="7"/>
  <c r="AS68" i="7" s="1"/>
  <c r="E29" i="7"/>
  <c r="E33" i="7"/>
  <c r="E11" i="7"/>
  <c r="E36" i="7"/>
  <c r="N87" i="7"/>
  <c r="G101" i="7"/>
  <c r="G100" i="7"/>
  <c r="G99" i="7"/>
  <c r="G98" i="7"/>
  <c r="G88" i="7"/>
  <c r="G87" i="7"/>
  <c r="G86" i="7"/>
  <c r="AS75" i="7"/>
  <c r="AS66" i="7"/>
  <c r="AS65" i="7"/>
  <c r="AS64" i="7"/>
  <c r="O20" i="7"/>
  <c r="B11" i="6"/>
  <c r="D11" i="2"/>
  <c r="A11" i="2" s="1"/>
  <c r="P47" i="2"/>
  <c r="N47" i="2"/>
  <c r="AH15" i="1" s="1"/>
  <c r="P46" i="2"/>
  <c r="N46" i="2"/>
  <c r="AH14" i="1" s="1"/>
  <c r="D44" i="2"/>
  <c r="D43" i="2"/>
  <c r="D42" i="2"/>
  <c r="D40" i="2"/>
  <c r="G46" i="2" s="1"/>
  <c r="AB14" i="1" s="1"/>
  <c r="X39" i="2"/>
  <c r="J9" i="2" s="1"/>
  <c r="S39" i="2"/>
  <c r="O39" i="2"/>
  <c r="M37" i="2"/>
  <c r="M34" i="2"/>
  <c r="D34" i="2"/>
  <c r="D41" i="2" s="1"/>
  <c r="D33" i="2"/>
  <c r="G49" i="2" s="1"/>
  <c r="D32" i="2"/>
  <c r="A32" i="2" s="1"/>
  <c r="P31" i="2"/>
  <c r="D30" i="2"/>
  <c r="A30" i="2" s="1"/>
  <c r="D28" i="2"/>
  <c r="A28" i="2" s="1"/>
  <c r="J27" i="2"/>
  <c r="M13" i="2"/>
  <c r="H13" i="2"/>
  <c r="S10" i="2"/>
  <c r="R2" i="2"/>
  <c r="A10" i="2"/>
  <c r="E10" i="2"/>
  <c r="D2" i="2"/>
  <c r="K50" i="2"/>
  <c r="K47" i="2"/>
  <c r="E23" i="2"/>
  <c r="G134" i="1"/>
  <c r="G123" i="1" s="1"/>
  <c r="I123" i="1" s="1"/>
  <c r="G133" i="1"/>
  <c r="G132" i="1"/>
  <c r="G131" i="1"/>
  <c r="G130" i="1"/>
  <c r="C123" i="1"/>
  <c r="D35" i="2" s="1"/>
  <c r="C109" i="1"/>
  <c r="D29" i="2" s="1"/>
  <c r="A29" i="2" s="1"/>
  <c r="G93" i="1"/>
  <c r="F93" i="1"/>
  <c r="E93" i="1"/>
  <c r="I93" i="1" s="1"/>
  <c r="C93" i="1"/>
  <c r="D13" i="2" s="1"/>
  <c r="A13" i="2" s="1"/>
  <c r="D82" i="1"/>
  <c r="D27" i="2" s="1"/>
  <c r="A27" i="2" s="1"/>
  <c r="H57" i="1"/>
  <c r="D19" i="2" s="1"/>
  <c r="P12" i="1"/>
  <c r="Q10" i="2" s="1"/>
  <c r="O12" i="1"/>
  <c r="N12" i="1"/>
  <c r="O10" i="2" s="1"/>
  <c r="E40" i="2" s="1"/>
  <c r="L12" i="1"/>
  <c r="M10" i="2" s="1"/>
  <c r="I12" i="1"/>
  <c r="J10" i="2" s="1"/>
  <c r="G12" i="1"/>
  <c r="H10" i="2" s="1"/>
  <c r="G10" i="2"/>
  <c r="D12" i="1"/>
  <c r="L46" i="2" l="1"/>
  <c r="A78" i="2"/>
  <c r="I47" i="2"/>
  <c r="AR34" i="7"/>
  <c r="AX29" i="7" s="1"/>
  <c r="A34" i="2"/>
  <c r="D20" i="2"/>
  <c r="G27" i="4" s="1"/>
  <c r="B28" i="6" s="1"/>
  <c r="G47" i="2"/>
  <c r="AB15" i="1" s="1"/>
  <c r="I9" i="2"/>
  <c r="M8" i="4"/>
  <c r="AJ8" i="4" s="1"/>
  <c r="C97" i="7"/>
  <c r="C109" i="7"/>
  <c r="E109" i="7" s="1"/>
  <c r="C85" i="7"/>
  <c r="BI72" i="7"/>
  <c r="G48" i="2"/>
  <c r="K48" i="2" s="1"/>
  <c r="N77" i="2"/>
  <c r="Z77" i="2" s="1"/>
  <c r="H3" i="4"/>
  <c r="AD3" i="4" s="1"/>
  <c r="D21" i="2"/>
  <c r="D11" i="4" s="1"/>
  <c r="B13" i="6" s="1"/>
  <c r="BK78" i="7"/>
  <c r="D15" i="2"/>
  <c r="W70" i="2"/>
  <c r="W81" i="2" s="1"/>
  <c r="D18" i="2"/>
  <c r="A23" i="2" s="1"/>
  <c r="AS71" i="7"/>
  <c r="F3" i="4"/>
  <c r="B22" i="6" s="1"/>
  <c r="U6" i="4"/>
  <c r="Z6" i="4" s="1"/>
  <c r="Q3" i="4"/>
  <c r="AN3" i="4" s="1"/>
  <c r="S3" i="4"/>
  <c r="B23" i="6" s="1"/>
  <c r="I46" i="2"/>
  <c r="Q70" i="2"/>
  <c r="Q81" i="2" s="1"/>
  <c r="E18" i="2"/>
  <c r="I16" i="4" s="1"/>
  <c r="B12" i="6" s="1"/>
  <c r="B71" i="2"/>
  <c r="B82" i="2" s="1"/>
  <c r="N74" i="2"/>
  <c r="Z74" i="2" s="1"/>
  <c r="W85" i="2" s="1"/>
  <c r="A74" i="2"/>
  <c r="I74" i="2" s="1"/>
  <c r="O3" i="4"/>
  <c r="A33" i="2"/>
  <c r="D16" i="2"/>
  <c r="D14" i="2"/>
  <c r="A14" i="2" s="1"/>
  <c r="C22" i="2"/>
  <c r="AN40" i="7" s="1"/>
  <c r="K49" i="2"/>
  <c r="H49" i="2"/>
  <c r="A16" i="2"/>
  <c r="AC35" i="4"/>
  <c r="A81" i="2"/>
  <c r="U27" i="2"/>
  <c r="J3" i="4"/>
  <c r="B24" i="6" s="1"/>
  <c r="AS53" i="7"/>
  <c r="BI31" i="7"/>
  <c r="BI20" i="7"/>
  <c r="D71" i="2"/>
  <c r="T70" i="2"/>
  <c r="T87" i="2" s="1"/>
  <c r="I28" i="7"/>
  <c r="AS69" i="7" s="1"/>
  <c r="AS58" i="7"/>
  <c r="I49" i="2"/>
  <c r="L49" i="2" s="1"/>
  <c r="N49" i="2" s="1"/>
  <c r="AX33" i="7" l="1"/>
  <c r="AX30" i="7"/>
  <c r="AX31" i="7" s="1"/>
  <c r="AX32" i="7" s="1"/>
  <c r="H48" i="2"/>
  <c r="B21" i="6"/>
  <c r="AO3" i="4"/>
  <c r="AA46" i="7"/>
  <c r="AD14" i="1"/>
  <c r="BS63" i="7"/>
  <c r="AD15" i="1"/>
  <c r="Q85" i="2"/>
  <c r="L47" i="2"/>
  <c r="AF15" i="1" s="1"/>
  <c r="AF14" i="1"/>
  <c r="I48" i="2"/>
  <c r="L48" i="2" s="1"/>
  <c r="N48" i="2" s="1"/>
  <c r="O48" i="2" s="1"/>
  <c r="A24" i="2"/>
  <c r="A47" i="4"/>
  <c r="A6" i="6" s="1"/>
  <c r="D23" i="2"/>
  <c r="AF42" i="7" s="1"/>
  <c r="AB3" i="4"/>
  <c r="V46" i="2"/>
  <c r="K32" i="7"/>
  <c r="AC45" i="4"/>
  <c r="AS60" i="7"/>
  <c r="BL41" i="7"/>
  <c r="E14" i="7"/>
  <c r="AR14" i="7" s="1"/>
  <c r="BN8" i="7"/>
  <c r="E15" i="2"/>
  <c r="A15" i="2"/>
  <c r="AF3" i="4"/>
  <c r="I41" i="7"/>
  <c r="BI13" i="7"/>
  <c r="BF66" i="7"/>
  <c r="CC65" i="7" s="1"/>
  <c r="BI38" i="7"/>
  <c r="BF81" i="7"/>
  <c r="CC80" i="7" s="1"/>
  <c r="Y56" i="4"/>
  <c r="I22" i="2"/>
  <c r="B15" i="6" s="1"/>
  <c r="AS67" i="7"/>
  <c r="D53" i="7"/>
  <c r="CL47" i="7"/>
  <c r="AL3" i="4"/>
  <c r="B25" i="6"/>
  <c r="AS59" i="7"/>
  <c r="D71" i="4"/>
  <c r="Q35" i="7"/>
  <c r="I61" i="7" s="1"/>
  <c r="AS54" i="7"/>
  <c r="AS70" i="7"/>
  <c r="AR24" i="7"/>
  <c r="O49" i="2"/>
  <c r="P49" i="2"/>
  <c r="AX11" i="7" l="1"/>
  <c r="AX15" i="7" s="1"/>
  <c r="C110" i="7"/>
  <c r="E110" i="7" s="1"/>
  <c r="AW11" i="7"/>
  <c r="Z62" i="7"/>
  <c r="Z63" i="7" s="1"/>
  <c r="Z64" i="7" s="1"/>
  <c r="Z65" i="7" s="1"/>
  <c r="Z66" i="7" s="1"/>
  <c r="Z67" i="7" s="1"/>
  <c r="Z68" i="7" s="1"/>
  <c r="Z69" i="7" s="1"/>
  <c r="AI61" i="7"/>
  <c r="P42" i="7"/>
  <c r="G62" i="7" s="1"/>
  <c r="C86" i="7"/>
  <c r="E86" i="7" s="1"/>
  <c r="C68" i="7"/>
  <c r="C69" i="7" s="1"/>
  <c r="P48" i="2"/>
  <c r="V47" i="2"/>
  <c r="V50" i="2" s="1"/>
  <c r="C56" i="4"/>
  <c r="CG50" i="7"/>
  <c r="BU45" i="7" s="1"/>
  <c r="R52" i="7" s="1"/>
  <c r="R53" i="7" s="1"/>
  <c r="R54" i="7" s="1"/>
  <c r="R55" i="7" s="1"/>
  <c r="R56" i="7" s="1"/>
  <c r="R57" i="7" s="1"/>
  <c r="R58" i="7" s="1"/>
  <c r="R59" i="7" s="1"/>
  <c r="R60" i="7" s="1"/>
  <c r="V44" i="7"/>
  <c r="AS79" i="7" s="1"/>
  <c r="E105" i="7"/>
  <c r="C111" i="7" s="1"/>
  <c r="C112" i="7" s="1"/>
  <c r="C98" i="7"/>
  <c r="E98" i="7" s="1"/>
  <c r="AS72" i="7"/>
  <c r="W47" i="4"/>
  <c r="AS56" i="7"/>
  <c r="E23" i="7"/>
  <c r="C55" i="7"/>
  <c r="C58" i="7" s="1"/>
  <c r="C59" i="7" s="1"/>
  <c r="AS57" i="7"/>
  <c r="BF68" i="7"/>
  <c r="CC67" i="7" s="1"/>
  <c r="AS77" i="7"/>
  <c r="G52" i="7"/>
  <c r="C54" i="7"/>
  <c r="C56" i="7"/>
  <c r="C57" i="7" s="1"/>
  <c r="BI16" i="7"/>
  <c r="L79" i="4"/>
  <c r="AI79" i="4" s="1"/>
  <c r="AS74" i="7"/>
  <c r="I23" i="2"/>
  <c r="B14" i="6" s="1"/>
  <c r="BD73" i="7"/>
  <c r="BH82" i="7"/>
  <c r="I62" i="7"/>
  <c r="I71" i="7" s="1"/>
  <c r="I72" i="7" s="1"/>
  <c r="AA53" i="7"/>
  <c r="I52" i="7"/>
  <c r="AS76" i="7"/>
  <c r="I70" i="7"/>
  <c r="I74" i="7" s="1"/>
  <c r="I65" i="7"/>
  <c r="AS73" i="7"/>
  <c r="CX26" i="7"/>
  <c r="AX12" i="7" l="1"/>
  <c r="AX13" i="7" s="1"/>
  <c r="AX14" i="7" s="1"/>
  <c r="AW14" i="7"/>
  <c r="AW15" i="7" s="1"/>
  <c r="AW12" i="7"/>
  <c r="AW13" i="7" s="1"/>
  <c r="AW29" i="7"/>
  <c r="Z70" i="7"/>
  <c r="Z71" i="7" s="1"/>
  <c r="AI62" i="7"/>
  <c r="AI63" i="7" s="1"/>
  <c r="AI64" i="7"/>
  <c r="AI65" i="7" s="1"/>
  <c r="Z58" i="7"/>
  <c r="Z59" i="7" s="1"/>
  <c r="CA82" i="7"/>
  <c r="AC61" i="7"/>
  <c r="E111" i="7"/>
  <c r="AS78" i="7"/>
  <c r="G63" i="7"/>
  <c r="G64" i="7" s="1"/>
  <c r="G61" i="7"/>
  <c r="G65" i="7" s="1"/>
  <c r="G70" i="7"/>
  <c r="J22" i="7"/>
  <c r="W18" i="7"/>
  <c r="F85" i="7" s="1"/>
  <c r="C113" i="7"/>
  <c r="E112" i="7"/>
  <c r="C60" i="7"/>
  <c r="C61" i="7" s="1"/>
  <c r="B6" i="6"/>
  <c r="M3" i="4"/>
  <c r="B20" i="6" s="1"/>
  <c r="L52" i="7"/>
  <c r="G56" i="7"/>
  <c r="G53" i="7"/>
  <c r="G54" i="7" s="1"/>
  <c r="G55" i="7" s="1"/>
  <c r="I56" i="7"/>
  <c r="N52" i="7"/>
  <c r="N53" i="7" s="1"/>
  <c r="I53" i="7"/>
  <c r="I54" i="7" s="1"/>
  <c r="I55" i="7" s="1"/>
  <c r="I64" i="7" s="1"/>
  <c r="I73" i="7" s="1"/>
  <c r="BF80" i="7"/>
  <c r="CC78" i="7" s="1"/>
  <c r="AS55" i="7"/>
  <c r="BI35" i="7"/>
  <c r="CF37" i="7" s="1"/>
  <c r="T52" i="7" s="1"/>
  <c r="T53" i="7" s="1"/>
  <c r="T54" i="7" s="1"/>
  <c r="T55" i="7" s="1"/>
  <c r="T56" i="7" s="1"/>
  <c r="T57" i="7" s="1"/>
  <c r="T58" i="7" s="1"/>
  <c r="T59" i="7" s="1"/>
  <c r="T60" i="7" s="1"/>
  <c r="D55" i="7"/>
  <c r="D56" i="7" s="1"/>
  <c r="D57" i="7" s="1"/>
  <c r="D58" i="7" s="1"/>
  <c r="D59" i="7" s="1"/>
  <c r="D60" i="7" s="1"/>
  <c r="D54" i="7"/>
  <c r="E85" i="7"/>
  <c r="E93" i="7"/>
  <c r="C99" i="7" s="1"/>
  <c r="E81" i="7"/>
  <c r="C87" i="7" s="1"/>
  <c r="E97" i="7"/>
  <c r="Z54" i="7"/>
  <c r="Z55" i="7" s="1"/>
  <c r="Z56" i="7" s="1"/>
  <c r="Z57" i="7" s="1"/>
  <c r="AC52" i="7"/>
  <c r="AC53" i="7" s="1"/>
  <c r="I63" i="7"/>
  <c r="AS61" i="7"/>
  <c r="AW32" i="7" l="1"/>
  <c r="AW33" i="7" s="1"/>
  <c r="AW30" i="7"/>
  <c r="AW31" i="7" s="1"/>
  <c r="AC62" i="7"/>
  <c r="AC63" i="7" s="1"/>
  <c r="AC64" i="7"/>
  <c r="AC65" i="7" s="1"/>
  <c r="D61" i="7"/>
  <c r="D62" i="7" s="1"/>
  <c r="D63" i="7" s="1"/>
  <c r="D64" i="7" s="1"/>
  <c r="D65" i="7" s="1"/>
  <c r="D66" i="7" s="1"/>
  <c r="D67" i="7" s="1"/>
  <c r="D68" i="7" s="1"/>
  <c r="G71" i="7"/>
  <c r="G72" i="7" s="1"/>
  <c r="G73" i="7" s="1"/>
  <c r="G74" i="7"/>
  <c r="F97" i="7"/>
  <c r="F109" i="7"/>
  <c r="D85" i="7"/>
  <c r="D97" i="7" s="1"/>
  <c r="C114" i="7"/>
  <c r="E114" i="7" s="1"/>
  <c r="E113" i="7"/>
  <c r="C64" i="7"/>
  <c r="C65" i="7" s="1"/>
  <c r="C62" i="7"/>
  <c r="C63" i="7" s="1"/>
  <c r="AD52" i="7"/>
  <c r="AD61" i="7" s="1"/>
  <c r="AA54" i="7"/>
  <c r="AA55" i="7" s="1"/>
  <c r="AA56" i="7" s="1"/>
  <c r="L56" i="7"/>
  <c r="L53" i="7"/>
  <c r="N56" i="7"/>
  <c r="N54" i="7"/>
  <c r="N55" i="7" s="1"/>
  <c r="C88" i="7"/>
  <c r="E88" i="7" s="1"/>
  <c r="E87" i="7"/>
  <c r="AC54" i="7"/>
  <c r="F88" i="7"/>
  <c r="F87" i="7"/>
  <c r="F86" i="7"/>
  <c r="BF74" i="7"/>
  <c r="CC73" i="7" s="1"/>
  <c r="E99" i="7"/>
  <c r="C100" i="7"/>
  <c r="AS63" i="7"/>
  <c r="AS62" i="7"/>
  <c r="AD65" i="7" l="1"/>
  <c r="AD62" i="7"/>
  <c r="AD63" i="7" s="1"/>
  <c r="AD64" i="7" s="1"/>
  <c r="D88" i="7"/>
  <c r="D87" i="7"/>
  <c r="D86" i="7"/>
  <c r="D109" i="7"/>
  <c r="D99" i="7"/>
  <c r="D100" i="7"/>
  <c r="D98" i="7"/>
  <c r="D101" i="7"/>
  <c r="AA57" i="7"/>
  <c r="AA58" i="7" s="1"/>
  <c r="AI53" i="7"/>
  <c r="AI54" i="7" s="1"/>
  <c r="L54" i="7"/>
  <c r="L55" i="7" s="1"/>
  <c r="AC55" i="7"/>
  <c r="AC56" i="7" s="1"/>
  <c r="AD53" i="7"/>
  <c r="AD54" i="7" s="1"/>
  <c r="AD55" i="7" s="1"/>
  <c r="AD56" i="7"/>
  <c r="E100" i="7"/>
  <c r="C101" i="7"/>
  <c r="E101" i="7" s="1"/>
  <c r="F101" i="7" l="1"/>
  <c r="F100" i="7"/>
  <c r="F98" i="7"/>
  <c r="F99" i="7"/>
  <c r="D114" i="7"/>
  <c r="D113" i="7"/>
  <c r="D110" i="7"/>
  <c r="D111" i="7"/>
  <c r="D112" i="7"/>
  <c r="AA59" i="7"/>
  <c r="AA60" i="7" s="1"/>
  <c r="AA61" i="7" s="1"/>
  <c r="AA62" i="7" s="1"/>
  <c r="AI55" i="7"/>
  <c r="AI56" i="7" s="1"/>
  <c r="AJ52" i="7" l="1"/>
  <c r="AJ61" i="7" s="1"/>
  <c r="AA63" i="7"/>
  <c r="AA64" i="7" s="1"/>
  <c r="AA65" i="7" s="1"/>
  <c r="AA66" i="7" s="1"/>
  <c r="AA67" i="7" s="1"/>
  <c r="AA68" i="7" s="1"/>
  <c r="AA69" i="7" s="1"/>
  <c r="AA70" i="7" s="1"/>
  <c r="F113" i="7"/>
  <c r="F112" i="7"/>
  <c r="F114" i="7"/>
  <c r="F110" i="7"/>
  <c r="F111" i="7"/>
  <c r="AJ56" i="7" l="1"/>
  <c r="AJ53" i="7"/>
  <c r="AJ54" i="7" s="1"/>
  <c r="AJ55" i="7" s="1"/>
  <c r="AJ65" i="7"/>
  <c r="AJ62" i="7"/>
  <c r="AJ63" i="7" s="1"/>
  <c r="AJ6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H7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ARCH-X2</t>
        </r>
      </text>
    </comment>
    <comment ref="I7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STOP</t>
        </r>
      </text>
    </comment>
    <comment ref="E11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R2</t>
        </r>
      </text>
    </comment>
    <comment ref="E14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ARCH-2
</t>
        </r>
      </text>
    </comment>
    <comment ref="K17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A4</t>
        </r>
      </text>
    </comment>
    <comment ref="E18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REB-2</t>
        </r>
      </text>
    </comment>
    <comment ref="M21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A3</t>
        </r>
      </text>
    </comment>
    <comment ref="J22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C2</t>
        </r>
      </text>
    </comment>
    <comment ref="O22" authorId="0" shapeId="0" xr:uid="{00000000-0006-0000-0400-000009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C3</t>
        </r>
      </text>
    </comment>
    <comment ref="R22" authorId="0" shapeId="0" xr:uid="{00000000-0006-0000-0400-00000A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C4</t>
        </r>
      </text>
    </comment>
    <comment ref="E23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C</t>
        </r>
      </text>
    </comment>
    <comment ref="AR24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W</t>
        </r>
      </text>
    </comment>
    <comment ref="J26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C1</t>
        </r>
      </text>
    </comment>
    <comment ref="G28" authorId="0" shapeId="0" xr:uid="{00000000-0006-0000-0400-00000E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C5</t>
        </r>
      </text>
    </comment>
    <comment ref="I28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A2</t>
        </r>
      </text>
    </comment>
    <comment ref="E29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REB-1
</t>
        </r>
      </text>
    </comment>
    <comment ref="N29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HIN-X</t>
        </r>
      </text>
    </comment>
    <comment ref="I31" authorId="0" shapeId="0" xr:uid="{00000000-0006-0000-0400-000012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A1</t>
        </r>
      </text>
    </comment>
    <comment ref="K32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HIN-Y</t>
        </r>
      </text>
    </comment>
    <comment ref="E33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ARCH-Y1</t>
        </r>
      </text>
    </comment>
    <comment ref="Q35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H1-Y1</t>
        </r>
      </text>
    </comment>
    <comment ref="E36" authorId="0" shapeId="0" xr:uid="{00000000-0006-0000-0400-000016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R1</t>
        </r>
      </text>
    </comment>
    <comment ref="G39" authorId="0" shapeId="0" xr:uid="{00000000-0006-0000-0400-000017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ARCH-X1
</t>
        </r>
      </text>
    </comment>
    <comment ref="I41" authorId="0" shapeId="0" xr:uid="{00000000-0006-0000-0400-000018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H1-X1</t>
        </r>
      </text>
    </comment>
    <comment ref="P42" authorId="0" shapeId="0" xr:uid="{00000000-0006-0000-0400-000019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H2-X2</t>
        </r>
      </text>
    </comment>
    <comment ref="V44" authorId="0" shapeId="0" xr:uid="{00000000-0006-0000-0400-00001A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H3-X3</t>
        </r>
      </text>
    </comment>
    <comment ref="AA46" authorId="0" shapeId="0" xr:uid="{00000000-0006-0000-0400-00001B000000}">
      <text>
        <r>
          <rPr>
            <b/>
            <sz val="8"/>
            <color indexed="81"/>
            <rFont val="Tahoma"/>
            <family val="2"/>
          </rPr>
          <t xml:space="preserve"> 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L</t>
        </r>
      </text>
    </comment>
  </commentList>
</comments>
</file>

<file path=xl/sharedStrings.xml><?xml version="1.0" encoding="utf-8"?>
<sst xmlns="http://schemas.openxmlformats.org/spreadsheetml/2006/main" count="379" uniqueCount="288">
  <si>
    <t>x</t>
  </si>
  <si>
    <t>Gauge</t>
  </si>
  <si>
    <t>Material</t>
  </si>
  <si>
    <t>Z</t>
  </si>
  <si>
    <t xml:space="preserve">Reveal Height: </t>
  </si>
  <si>
    <t>Reveal Width:</t>
  </si>
  <si>
    <t>Handing:</t>
  </si>
  <si>
    <t>R</t>
  </si>
  <si>
    <t>No. of Hinges:</t>
  </si>
  <si>
    <t>.</t>
  </si>
  <si>
    <t>Closer</t>
  </si>
  <si>
    <t>Weather Mould</t>
  </si>
  <si>
    <t>Frame Fixing</t>
  </si>
  <si>
    <t>FF</t>
  </si>
  <si>
    <t>Sides/Stiles</t>
  </si>
  <si>
    <t>Assembly:</t>
  </si>
  <si>
    <t>WDP</t>
  </si>
  <si>
    <t>Mullion Required</t>
  </si>
  <si>
    <t>Transom Required</t>
  </si>
  <si>
    <t>Sill Required</t>
  </si>
  <si>
    <t xml:space="preserve">Quantity……..: </t>
  </si>
  <si>
    <t>Handing</t>
  </si>
  <si>
    <t>L</t>
  </si>
  <si>
    <t>LEFTHAND</t>
  </si>
  <si>
    <t>RIGHTHAND</t>
  </si>
  <si>
    <t>D</t>
  </si>
  <si>
    <t>DOUBLE</t>
  </si>
  <si>
    <t>INT</t>
  </si>
  <si>
    <t>COMB</t>
  </si>
  <si>
    <t>HINGES</t>
  </si>
  <si>
    <t>W</t>
  </si>
  <si>
    <t>Welded Z/P</t>
  </si>
  <si>
    <t>SF B/P</t>
  </si>
  <si>
    <t>S+H</t>
  </si>
  <si>
    <t>SF B/P SUPPLY &amp; FIT HINGES Z/P.</t>
  </si>
  <si>
    <t>S+HSS</t>
  </si>
  <si>
    <t>SF B/P SUPPLY &amp; FIT HINGES S/S.</t>
  </si>
  <si>
    <t>S3.2</t>
  </si>
  <si>
    <t>SF B/P **To Suit 3.2mm Thick Hinge.**</t>
  </si>
  <si>
    <t>HH</t>
  </si>
  <si>
    <t>SF B/P Hospital Hinge</t>
  </si>
  <si>
    <t>SPC</t>
  </si>
  <si>
    <t>Special Hinge</t>
  </si>
  <si>
    <t>WSS</t>
  </si>
  <si>
    <t>Welded SS Hinges</t>
  </si>
  <si>
    <t>W-LOH</t>
  </si>
  <si>
    <t>**WELDED-LIFTOFF HINGES**</t>
  </si>
  <si>
    <t>1xMul</t>
  </si>
  <si>
    <t>2xMul</t>
  </si>
  <si>
    <t>Zincanneal</t>
  </si>
  <si>
    <t>G</t>
  </si>
  <si>
    <t>Galvabond</t>
  </si>
  <si>
    <t>MS</t>
  </si>
  <si>
    <t>Mild Steel</t>
  </si>
  <si>
    <t>S304</t>
  </si>
  <si>
    <t>304#4/SS</t>
  </si>
  <si>
    <t>S316</t>
  </si>
  <si>
    <t>316-2B/SS</t>
  </si>
  <si>
    <t>WT</t>
  </si>
  <si>
    <t>Wire Ties</t>
  </si>
  <si>
    <t>LWT</t>
  </si>
  <si>
    <t>Large Wire Ties</t>
  </si>
  <si>
    <t>CS</t>
  </si>
  <si>
    <t>CSK Holes</t>
  </si>
  <si>
    <t>TF</t>
  </si>
  <si>
    <t>Tube Fix</t>
  </si>
  <si>
    <t>C Strap Fix</t>
  </si>
  <si>
    <t>FST</t>
  </si>
  <si>
    <t>Flat Strap Fix</t>
  </si>
  <si>
    <t>TFSG</t>
  </si>
  <si>
    <t>Tube Fix Staggered</t>
  </si>
  <si>
    <t>T+S</t>
  </si>
  <si>
    <t>Tube + Flat Strap Fix</t>
  </si>
  <si>
    <t>Special</t>
  </si>
  <si>
    <t>STRIKER</t>
  </si>
  <si>
    <t>SA</t>
  </si>
  <si>
    <t>Surface Mounted</t>
  </si>
  <si>
    <t>(Reinforce 200x3mm MS Plate on Architrave)</t>
  </si>
  <si>
    <t>PA</t>
  </si>
  <si>
    <t>Parallel Arm</t>
  </si>
  <si>
    <t>(Reinforce 200x3mm MS Plate on Rebate)</t>
  </si>
  <si>
    <t>RTS85</t>
  </si>
  <si>
    <t xml:space="preserve">RTS-85 Transom Closer Box </t>
  </si>
  <si>
    <t>(3mm From Reveal, 353x102mm Cut Out, C/L To Door.)</t>
  </si>
  <si>
    <t>ITS96</t>
  </si>
  <si>
    <t>ITS96 Concealed Closer</t>
  </si>
  <si>
    <t>(145mm From Reveal, 442x32mm Cut Out, C/L Rebate.)</t>
  </si>
  <si>
    <t>LW985</t>
  </si>
  <si>
    <t>L/W-985</t>
  </si>
  <si>
    <t>Special See Sketch.</t>
  </si>
  <si>
    <t>EFJ</t>
  </si>
  <si>
    <t>Efco Jackson</t>
  </si>
  <si>
    <t>BTS</t>
  </si>
  <si>
    <t>Dorma BTS80</t>
  </si>
  <si>
    <t>D302</t>
  </si>
  <si>
    <t>Dalco 13302 Set</t>
  </si>
  <si>
    <t>D303</t>
  </si>
  <si>
    <t>Dalco 13303 Set</t>
  </si>
  <si>
    <t>Assembly</t>
  </si>
  <si>
    <t>KD</t>
  </si>
  <si>
    <t>KnockDown</t>
  </si>
  <si>
    <t>KDI</t>
  </si>
  <si>
    <t>KnockDown Ind. Wrapped</t>
  </si>
  <si>
    <t>KS</t>
  </si>
  <si>
    <t>Saw Mitred</t>
  </si>
  <si>
    <t>AS</t>
  </si>
  <si>
    <t>Assembled</t>
  </si>
  <si>
    <t>WA</t>
  </si>
  <si>
    <t>Weld-Assembled</t>
  </si>
  <si>
    <t>WD</t>
  </si>
  <si>
    <t>Welded &amp; Dressed ONLY</t>
  </si>
  <si>
    <t>PK</t>
  </si>
  <si>
    <t>Primed Knockdown</t>
  </si>
  <si>
    <t>KSP</t>
  </si>
  <si>
    <t>Saw Mitred-Primed</t>
  </si>
  <si>
    <t>Assembled &amp; Primed</t>
  </si>
  <si>
    <t>WAP</t>
  </si>
  <si>
    <t>Weld-Assembled-Primed</t>
  </si>
  <si>
    <t>Weld Dressed-Primed</t>
  </si>
  <si>
    <t>WDPL</t>
  </si>
  <si>
    <t>Weld Dress-Polished</t>
  </si>
  <si>
    <t>WDEP</t>
  </si>
  <si>
    <t>WELD DRESS-**ETCH PRIMED**</t>
  </si>
  <si>
    <t>Type Of Hinge:</t>
  </si>
  <si>
    <t>Mark to Front</t>
  </si>
  <si>
    <t>Top Hinge</t>
  </si>
  <si>
    <t>Btm Hinge</t>
  </si>
  <si>
    <t xml:space="preserve">Quantity.….: </t>
  </si>
  <si>
    <t>GUILLOTINE BLANK:</t>
  </si>
  <si>
    <t>mm</t>
  </si>
  <si>
    <t>program file path:</t>
  </si>
  <si>
    <t>c\customer\xyz\project\S12345</t>
  </si>
  <si>
    <t>AUTOMATED DOOR FRAME GENERATOR</t>
  </si>
  <si>
    <t>Developed By</t>
  </si>
  <si>
    <t>Metamation, Inc</t>
  </si>
  <si>
    <t>Contour</t>
    <phoneticPr fontId="2"/>
  </si>
  <si>
    <t>Length(L)</t>
  </si>
  <si>
    <t>Width(W)</t>
  </si>
  <si>
    <t>Machine ID</t>
    <phoneticPr fontId="2"/>
  </si>
  <si>
    <t>Material</t>
    <phoneticPr fontId="2"/>
  </si>
  <si>
    <t>Thickness</t>
    <phoneticPr fontId="2"/>
  </si>
  <si>
    <t>Machine Name</t>
  </si>
  <si>
    <t>CRS</t>
  </si>
  <si>
    <t>Laser cutting properties name</t>
    <phoneticPr fontId="2"/>
  </si>
  <si>
    <t>Nc Code File Name</t>
  </si>
  <si>
    <t>MetaCAM path</t>
    <phoneticPr fontId="2"/>
  </si>
  <si>
    <t>Punch</t>
  </si>
  <si>
    <t>DoorFrame2.nc</t>
  </si>
  <si>
    <t>File Storage Folder</t>
  </si>
  <si>
    <t>Part Name</t>
  </si>
  <si>
    <t>Report Name</t>
  </si>
  <si>
    <t xml:space="preserve">Dimension </t>
  </si>
  <si>
    <t>Size</t>
  </si>
  <si>
    <t>DoorFrame2</t>
  </si>
  <si>
    <t>HL1</t>
  </si>
  <si>
    <t>HW1</t>
  </si>
  <si>
    <t>Hinge1_X1</t>
  </si>
  <si>
    <t>Hinge2_X1</t>
  </si>
  <si>
    <t>CLICK BUTTON BELOW</t>
  </si>
  <si>
    <t>Hinge3_X1</t>
  </si>
  <si>
    <t>A1</t>
  </si>
  <si>
    <t>A2</t>
  </si>
  <si>
    <t>Schematic Of the Frame</t>
  </si>
  <si>
    <t>B1</t>
  </si>
  <si>
    <t>E1</t>
  </si>
  <si>
    <t>C1</t>
  </si>
  <si>
    <t>D1</t>
  </si>
  <si>
    <t>F1</t>
  </si>
  <si>
    <t>F2</t>
  </si>
  <si>
    <t>R1</t>
  </si>
  <si>
    <t>R2</t>
  </si>
  <si>
    <t>Hinge_Y1</t>
  </si>
  <si>
    <t>Steps to Run Application</t>
  </si>
  <si>
    <t>1. Check Machine No, Material, Name match with the MetaCAM install</t>
  </si>
  <si>
    <t>2. Map Dimensions of Door or Fill out Values</t>
  </si>
  <si>
    <t>Unit (mm/inch)</t>
  </si>
  <si>
    <t>H2x</t>
  </si>
  <si>
    <t>H3x</t>
  </si>
  <si>
    <t>Hinge Length</t>
  </si>
  <si>
    <t>Hinge width</t>
  </si>
  <si>
    <t>Third Hinge</t>
  </si>
  <si>
    <t>Arch Angle</t>
  </si>
  <si>
    <t>?</t>
  </si>
  <si>
    <t>Centre Distance</t>
  </si>
  <si>
    <t>Stop Depth</t>
  </si>
  <si>
    <t>Return Door side</t>
  </si>
  <si>
    <t>Return Opp side</t>
  </si>
  <si>
    <t>Reb Door Side</t>
  </si>
  <si>
    <t>Reb Opp side</t>
  </si>
  <si>
    <t>Hinge Mark to Front</t>
  </si>
  <si>
    <t>Arch depth</t>
  </si>
  <si>
    <t>C:\METACAM\metacam.exe</t>
  </si>
  <si>
    <t>X</t>
  </si>
  <si>
    <t>Y</t>
  </si>
  <si>
    <t>DIMENSION TABLE</t>
  </si>
  <si>
    <t>RETURN DOOR SIDE</t>
  </si>
  <si>
    <t>RETURN OPP SIDE</t>
  </si>
  <si>
    <t>ARCH DOOR SIDE</t>
  </si>
  <si>
    <t xml:space="preserve">ARCH-Y1 </t>
  </si>
  <si>
    <t>ARCH-Y2</t>
  </si>
  <si>
    <t>ARCH OPP SIDE</t>
  </si>
  <si>
    <t>ARCH-X1</t>
  </si>
  <si>
    <t>ARCH-X2</t>
  </si>
  <si>
    <t>REB-1</t>
  </si>
  <si>
    <t>REB-2</t>
  </si>
  <si>
    <t>REB DOOR SIDE</t>
  </si>
  <si>
    <t>REB OPP SIDE</t>
  </si>
  <si>
    <t>C</t>
  </si>
  <si>
    <t>CENTRE GAP</t>
  </si>
  <si>
    <t>STOP</t>
  </si>
  <si>
    <t>STOP DEPTH</t>
  </si>
  <si>
    <t>C2</t>
  </si>
  <si>
    <t>C3</t>
  </si>
  <si>
    <t>C4</t>
  </si>
  <si>
    <t>C5</t>
  </si>
  <si>
    <t>BEFOR TAB</t>
  </si>
  <si>
    <t>AFTER TAB</t>
  </si>
  <si>
    <t>TAB HEIGHT</t>
  </si>
  <si>
    <t>TAB WIDTH BTM DIM</t>
  </si>
  <si>
    <t>TAB TOP WIDTH DIM</t>
  </si>
  <si>
    <t>REB-1 DIM B4 TAB</t>
  </si>
  <si>
    <t>REB-1 DIM AFTR TAB</t>
  </si>
  <si>
    <t>A3</t>
  </si>
  <si>
    <t>A4</t>
  </si>
  <si>
    <t>REB-2 DIM B4 TAB</t>
  </si>
  <si>
    <t>REB-2 DIM AFTR TAB</t>
  </si>
  <si>
    <t>LENGTH</t>
  </si>
  <si>
    <t>WIDTH</t>
  </si>
  <si>
    <t>HIN-Y</t>
  </si>
  <si>
    <t>HINGE WIDTH</t>
  </si>
  <si>
    <t>HIN-X</t>
  </si>
  <si>
    <t>HINGE LENGTH</t>
  </si>
  <si>
    <t>H1-Y1</t>
  </si>
  <si>
    <t>HINGE MARK TO FRONT</t>
  </si>
  <si>
    <t>H1-X1</t>
  </si>
  <si>
    <t>H2-X2</t>
  </si>
  <si>
    <t>H3-X3</t>
  </si>
  <si>
    <t>HINGE 1 - X LENGTH</t>
  </si>
  <si>
    <t>HINGE 2 - X LENGTH</t>
  </si>
  <si>
    <t>HINGE 3 - X LENGTH</t>
  </si>
  <si>
    <t>OUT LINE TABLE - 1</t>
  </si>
  <si>
    <t>HINGE TABLE</t>
  </si>
  <si>
    <t>HINGE-1</t>
  </si>
  <si>
    <t>HINGE-2</t>
  </si>
  <si>
    <t>HINGE-3</t>
  </si>
  <si>
    <t>a1</t>
  </si>
  <si>
    <t>a2</t>
  </si>
  <si>
    <t>a3</t>
  </si>
  <si>
    <t>a4</t>
  </si>
  <si>
    <t>a5</t>
  </si>
  <si>
    <t>PROFILE</t>
  </si>
  <si>
    <t>LOCK TABLE - STD</t>
  </si>
  <si>
    <t>Head Table</t>
  </si>
  <si>
    <t>slot-1</t>
  </si>
  <si>
    <t>slot-2</t>
  </si>
  <si>
    <t>lock</t>
  </si>
  <si>
    <t>head</t>
  </si>
  <si>
    <t>C:\MCAMData\stalin</t>
  </si>
  <si>
    <t>ARIES245-20ST-2AI</t>
  </si>
  <si>
    <t>C:\Metacam\Punch Part.rep</t>
  </si>
  <si>
    <t>HINGE PREP</t>
  </si>
  <si>
    <t>SFH</t>
  </si>
  <si>
    <t>STRIKE HEIGHT</t>
  </si>
  <si>
    <t>STRIKE PREP</t>
  </si>
  <si>
    <t>UNI</t>
  </si>
  <si>
    <t>UNIVERSAL</t>
  </si>
  <si>
    <t>Start pt of Arc</t>
  </si>
  <si>
    <t>Cen pt of Arc</t>
  </si>
  <si>
    <t>DIR</t>
  </si>
  <si>
    <t>0/1</t>
  </si>
  <si>
    <t>CSK TABLE for 4 holes</t>
  </si>
  <si>
    <t>CSK TABLE for 5 holes</t>
  </si>
  <si>
    <t>FRAME FIXING</t>
  </si>
  <si>
    <t>HINGE QTY</t>
  </si>
  <si>
    <t>HINGE-4</t>
  </si>
  <si>
    <t>slot</t>
  </si>
  <si>
    <t>STANDARD SINGLE REBATED</t>
  </si>
  <si>
    <t>Striker</t>
  </si>
  <si>
    <t>Radius</t>
  </si>
  <si>
    <t>DATE</t>
  </si>
  <si>
    <t>CLIENT/CUSTOMER</t>
  </si>
  <si>
    <t>JOB NUMBER</t>
  </si>
  <si>
    <t>Qty</t>
  </si>
  <si>
    <t>CUTTING LIST</t>
  </si>
  <si>
    <t>slot-3</t>
  </si>
  <si>
    <t>slot-4</t>
  </si>
  <si>
    <t>D/B-3.5</t>
  </si>
  <si>
    <t>Stile Slot 20X2.5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</si>
</sst>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;\-&quot;$&quot;#,##0.00"/>
    <numFmt numFmtId="165" formatCode="_-&quot;$&quot;* #,##0.00_-;\-&quot;$&quot;* #,##0.00_-;_-&quot;$&quot;* &quot;-&quot;??_-;_-@_-"/>
    <numFmt numFmtId="166" formatCode="\-"/>
    <numFmt numFmtId="167" formatCode="0.0"/>
    <numFmt numFmtId="168" formatCode="0.000"/>
    <numFmt numFmtId="169" formatCode="0.00;[Red]0.00"/>
    <numFmt numFmtId="170" formatCode="0.0000"/>
    <numFmt numFmtId="171" formatCode="&quot;Yes&quot;;&quot;Yes&quot;;&quot;No&quot;"/>
    <numFmt numFmtId="172" formatCode="0.000;[Red]0.000"/>
  </numFmts>
  <fonts count="47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1"/>
      <name val="ＭＳ Ｐゴシック"/>
      <charset val="128"/>
    </font>
    <font>
      <sz val="11"/>
      <name val="ＭＳ Ｐゴシック"/>
      <charset val="128"/>
    </font>
    <font>
      <b/>
      <sz val="11"/>
      <name val="Arial"/>
      <family val="2"/>
    </font>
    <font>
      <sz val="12"/>
      <color indexed="27"/>
      <name val="Arial"/>
      <family val="2"/>
    </font>
    <font>
      <sz val="10"/>
      <color indexed="27"/>
      <name val="Arial"/>
      <family val="2"/>
    </font>
    <font>
      <sz val="8"/>
      <color indexed="27"/>
      <name val="Arial"/>
      <family val="2"/>
    </font>
    <font>
      <b/>
      <sz val="8"/>
      <color indexed="27"/>
      <name val="Arial"/>
      <family val="2"/>
    </font>
    <font>
      <sz val="11"/>
      <color indexed="27"/>
      <name val="Arial"/>
      <family val="2"/>
    </font>
    <font>
      <b/>
      <sz val="12"/>
      <color indexed="27"/>
      <name val="Arial"/>
      <family val="2"/>
    </font>
    <font>
      <b/>
      <sz val="10"/>
      <color indexed="27"/>
      <name val="Arial"/>
      <family val="2"/>
    </font>
    <font>
      <b/>
      <sz val="14"/>
      <color indexed="27"/>
      <name val="Arial"/>
      <family val="2"/>
    </font>
    <font>
      <sz val="11"/>
      <color indexed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6"/>
      <color indexed="81"/>
      <name val="Tahoma"/>
      <family val="2"/>
    </font>
    <font>
      <sz val="12"/>
      <color indexed="81"/>
      <name val="Tahoma"/>
      <family val="2"/>
    </font>
    <font>
      <sz val="14"/>
      <color indexed="81"/>
      <name val="Tahoma"/>
      <family val="2"/>
    </font>
    <font>
      <sz val="26"/>
      <name val="Arial"/>
      <family val="2"/>
    </font>
    <font>
      <sz val="10"/>
      <color theme="8" tint="0.79998168889431442"/>
      <name val="Arial"/>
      <family val="2"/>
    </font>
    <font>
      <sz val="11"/>
      <color theme="8" tint="0.79998168889431442"/>
      <name val="Arial"/>
      <family val="2"/>
    </font>
    <font>
      <sz val="9"/>
      <name val="Arial"/>
      <family val="2"/>
    </font>
    <font>
      <b/>
      <i/>
      <sz val="8"/>
      <name val="Arial"/>
      <family val="2"/>
    </font>
    <font>
      <b/>
      <u/>
      <sz val="12"/>
      <name val="Arial"/>
      <family val="2"/>
    </font>
    <font>
      <sz val="14"/>
      <name val="Century"/>
      <family val="1"/>
    </font>
    <font>
      <sz val="16"/>
      <name val="Century"/>
      <family val="1"/>
    </font>
    <font>
      <b/>
      <u/>
      <sz val="10"/>
      <name val="Arial"/>
      <family val="2"/>
    </font>
    <font>
      <b/>
      <i/>
      <sz val="10"/>
      <name val="Arial"/>
      <family val="2"/>
    </font>
    <font>
      <b/>
      <i/>
      <sz val="11"/>
      <name val="Times New Roman"/>
      <family val="1"/>
    </font>
    <font>
      <sz val="10"/>
      <name val="Calibri"/>
      <family val="2"/>
    </font>
    <font>
      <b/>
      <sz val="11"/>
      <color rgb="FF000000"/>
      <name val="ＭＳ Ｐゴシック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9" fontId="1" fillId="0" borderId="0" applyFont="0" applyFill="0" applyBorder="0" applyAlignment="0" applyProtection="0"/>
  </cellStyleXfs>
  <cellXfs count="459">
    <xf numFmtId="0" fontId="0" fillId="0" borderId="0" xfId="0"/>
    <xf numFmtId="0" fontId="0" fillId="3" borderId="0" xfId="0" applyFill="1" applyBorder="1" applyProtection="1"/>
    <xf numFmtId="166" fontId="0" fillId="3" borderId="0" xfId="0" applyNumberFormat="1" applyFill="1" applyBorder="1" applyProtection="1"/>
    <xf numFmtId="0" fontId="0" fillId="3" borderId="0" xfId="0" applyFill="1" applyBorder="1" applyAlignment="1" applyProtection="1"/>
    <xf numFmtId="0" fontId="0" fillId="3" borderId="0" xfId="0" applyFill="1" applyBorder="1" applyProtection="1">
      <protection locked="0"/>
    </xf>
    <xf numFmtId="0" fontId="3" fillId="3" borderId="0" xfId="0" applyFont="1" applyFill="1" applyBorder="1" applyAlignment="1" applyProtection="1">
      <alignment horizontal="center"/>
    </xf>
    <xf numFmtId="14" fontId="3" fillId="3" borderId="0" xfId="0" applyNumberFormat="1" applyFont="1" applyFill="1" applyBorder="1" applyProtection="1"/>
    <xf numFmtId="0" fontId="3" fillId="3" borderId="0" xfId="0" applyFont="1" applyFill="1" applyBorder="1" applyProtection="1"/>
    <xf numFmtId="0" fontId="0" fillId="3" borderId="0" xfId="0" applyFill="1" applyBorder="1" applyAlignment="1" applyProtection="1">
      <alignment horizontal="left"/>
    </xf>
    <xf numFmtId="0" fontId="8" fillId="3" borderId="0" xfId="0" applyFont="1" applyFill="1" applyBorder="1" applyProtection="1"/>
    <xf numFmtId="0" fontId="5" fillId="3" borderId="0" xfId="0" applyFont="1" applyFill="1" applyBorder="1" applyAlignment="1" applyProtection="1"/>
    <xf numFmtId="49" fontId="0" fillId="3" borderId="0" xfId="0" applyNumberFormat="1" applyFill="1" applyBorder="1" applyProtection="1"/>
    <xf numFmtId="0" fontId="1" fillId="3" borderId="0" xfId="0" applyFont="1" applyFill="1" applyBorder="1" applyAlignment="1" applyProtection="1">
      <alignment horizontal="left"/>
    </xf>
    <xf numFmtId="0" fontId="7" fillId="3" borderId="0" xfId="0" applyFont="1" applyFill="1" applyBorder="1" applyProtection="1"/>
    <xf numFmtId="0" fontId="3" fillId="3" borderId="0" xfId="0" applyFont="1" applyFill="1" applyBorder="1" applyAlignment="1" applyProtection="1"/>
    <xf numFmtId="0" fontId="3" fillId="3" borderId="0" xfId="0" applyFont="1" applyFill="1" applyBorder="1" applyAlignment="1" applyProtection="1">
      <alignment horizontal="left"/>
    </xf>
    <xf numFmtId="0" fontId="1" fillId="3" borderId="0" xfId="0" applyFont="1" applyFill="1" applyBorder="1" applyProtection="1"/>
    <xf numFmtId="1" fontId="7" fillId="3" borderId="0" xfId="0" applyNumberFormat="1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165" fontId="5" fillId="3" borderId="0" xfId="1" applyFont="1" applyFill="1" applyBorder="1" applyProtection="1"/>
    <xf numFmtId="0" fontId="12" fillId="3" borderId="0" xfId="0" applyFont="1" applyFill="1" applyBorder="1" applyProtection="1"/>
    <xf numFmtId="0" fontId="1" fillId="3" borderId="0" xfId="0" applyFont="1" applyFill="1" applyBorder="1" applyAlignment="1" applyProtection="1">
      <alignment horizontal="right"/>
    </xf>
    <xf numFmtId="0" fontId="1" fillId="3" borderId="0" xfId="0" applyFont="1" applyFill="1" applyBorder="1" applyAlignment="1" applyProtection="1">
      <alignment horizontal="center"/>
    </xf>
    <xf numFmtId="1" fontId="13" fillId="3" borderId="0" xfId="0" applyNumberFormat="1" applyFont="1" applyFill="1" applyBorder="1" applyAlignment="1" applyProtection="1">
      <alignment horizontal="center"/>
    </xf>
    <xf numFmtId="0" fontId="13" fillId="3" borderId="0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left"/>
    </xf>
    <xf numFmtId="0" fontId="5" fillId="3" borderId="0" xfId="0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left" vertical="top"/>
    </xf>
    <xf numFmtId="165" fontId="0" fillId="3" borderId="0" xfId="0" applyNumberForma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right"/>
    </xf>
    <xf numFmtId="0" fontId="14" fillId="3" borderId="0" xfId="0" applyFont="1" applyFill="1" applyBorder="1" applyAlignment="1" applyProtection="1">
      <alignment horizontal="center"/>
    </xf>
    <xf numFmtId="165" fontId="8" fillId="3" borderId="0" xfId="1" applyFont="1" applyFill="1" applyBorder="1" applyProtection="1"/>
    <xf numFmtId="164" fontId="8" fillId="3" borderId="0" xfId="1" applyNumberFormat="1" applyFont="1" applyFill="1" applyBorder="1" applyAlignment="1" applyProtection="1">
      <alignment horizontal="center"/>
    </xf>
    <xf numFmtId="0" fontId="11" fillId="3" borderId="0" xfId="0" applyFont="1" applyFill="1" applyBorder="1" applyProtection="1"/>
    <xf numFmtId="0" fontId="2" fillId="3" borderId="0" xfId="0" applyFont="1" applyFill="1" applyBorder="1" applyAlignment="1" applyProtection="1">
      <alignment horizontal="center"/>
    </xf>
    <xf numFmtId="0" fontId="2" fillId="3" borderId="0" xfId="0" applyFont="1" applyFill="1" applyBorder="1" applyProtection="1"/>
    <xf numFmtId="0" fontId="5" fillId="3" borderId="0" xfId="0" applyFont="1" applyFill="1" applyBorder="1" applyAlignment="1" applyProtection="1">
      <alignment horizontal="left"/>
    </xf>
    <xf numFmtId="0" fontId="5" fillId="3" borderId="0" xfId="0" applyFont="1" applyFill="1" applyBorder="1" applyProtection="1"/>
    <xf numFmtId="14" fontId="19" fillId="3" borderId="0" xfId="0" applyNumberFormat="1" applyFont="1" applyFill="1" applyBorder="1" applyProtection="1"/>
    <xf numFmtId="0" fontId="19" fillId="3" borderId="0" xfId="0" applyFont="1" applyFill="1" applyBorder="1" applyProtection="1"/>
    <xf numFmtId="0" fontId="20" fillId="3" borderId="0" xfId="0" applyFont="1" applyFill="1" applyBorder="1" applyProtection="1"/>
    <xf numFmtId="0" fontId="21" fillId="3" borderId="4" xfId="0" applyFont="1" applyFill="1" applyBorder="1" applyAlignment="1" applyProtection="1">
      <alignment horizontal="left"/>
    </xf>
    <xf numFmtId="0" fontId="21" fillId="3" borderId="3" xfId="0" applyFont="1" applyFill="1" applyBorder="1" applyAlignment="1" applyProtection="1">
      <alignment horizontal="left"/>
    </xf>
    <xf numFmtId="0" fontId="20" fillId="3" borderId="0" xfId="0" applyFont="1" applyFill="1" applyBorder="1" applyAlignment="1" applyProtection="1">
      <alignment horizontal="center"/>
    </xf>
    <xf numFmtId="0" fontId="21" fillId="3" borderId="4" xfId="0" applyFont="1" applyFill="1" applyBorder="1" applyAlignment="1" applyProtection="1"/>
    <xf numFmtId="0" fontId="21" fillId="3" borderId="3" xfId="0" applyFont="1" applyFill="1" applyBorder="1" applyAlignment="1" applyProtection="1"/>
    <xf numFmtId="0" fontId="21" fillId="3" borderId="5" xfId="0" applyFont="1" applyFill="1" applyBorder="1" applyAlignment="1" applyProtection="1"/>
    <xf numFmtId="0" fontId="21" fillId="3" borderId="7" xfId="0" applyFont="1" applyFill="1" applyBorder="1" applyAlignment="1" applyProtection="1"/>
    <xf numFmtId="0" fontId="22" fillId="3" borderId="2" xfId="0" applyFont="1" applyFill="1" applyBorder="1" applyAlignment="1" applyProtection="1"/>
    <xf numFmtId="0" fontId="20" fillId="3" borderId="2" xfId="0" applyFont="1" applyFill="1" applyBorder="1" applyProtection="1"/>
    <xf numFmtId="0" fontId="20" fillId="3" borderId="8" xfId="0" applyFont="1" applyFill="1" applyBorder="1" applyProtection="1"/>
    <xf numFmtId="0" fontId="19" fillId="3" borderId="4" xfId="0" applyFont="1" applyFill="1" applyBorder="1" applyProtection="1"/>
    <xf numFmtId="0" fontId="20" fillId="3" borderId="0" xfId="0" applyFont="1" applyFill="1" applyBorder="1" applyAlignment="1" applyProtection="1">
      <alignment horizontal="left"/>
    </xf>
    <xf numFmtId="0" fontId="20" fillId="3" borderId="3" xfId="0" applyFont="1" applyFill="1" applyBorder="1" applyProtection="1"/>
    <xf numFmtId="0" fontId="20" fillId="3" borderId="4" xfId="0" applyFont="1" applyFill="1" applyBorder="1" applyProtection="1"/>
    <xf numFmtId="0" fontId="20" fillId="3" borderId="4" xfId="0" applyFont="1" applyFill="1" applyBorder="1" applyAlignment="1" applyProtection="1">
      <alignment horizontal="left"/>
    </xf>
    <xf numFmtId="0" fontId="23" fillId="3" borderId="5" xfId="0" applyFont="1" applyFill="1" applyBorder="1" applyProtection="1"/>
    <xf numFmtId="0" fontId="20" fillId="3" borderId="6" xfId="0" applyFont="1" applyFill="1" applyBorder="1" applyAlignment="1" applyProtection="1">
      <alignment horizontal="center"/>
    </xf>
    <xf numFmtId="0" fontId="20" fillId="3" borderId="6" xfId="0" applyFont="1" applyFill="1" applyBorder="1" applyAlignment="1" applyProtection="1">
      <alignment horizontal="left"/>
    </xf>
    <xf numFmtId="0" fontId="20" fillId="3" borderId="6" xfId="0" applyFont="1" applyFill="1" applyBorder="1" applyProtection="1"/>
    <xf numFmtId="0" fontId="20" fillId="3" borderId="7" xfId="0" applyFont="1" applyFill="1" applyBorder="1" applyProtection="1"/>
    <xf numFmtId="0" fontId="24" fillId="3" borderId="0" xfId="0" applyFont="1" applyFill="1" applyBorder="1" applyAlignment="1" applyProtection="1">
      <alignment horizontal="left"/>
    </xf>
    <xf numFmtId="0" fontId="19" fillId="3" borderId="0" xfId="0" applyFont="1" applyFill="1" applyBorder="1" applyAlignment="1" applyProtection="1">
      <alignment horizontal="left"/>
    </xf>
    <xf numFmtId="0" fontId="19" fillId="3" borderId="8" xfId="0" applyFont="1" applyFill="1" applyBorder="1" applyAlignment="1" applyProtection="1">
      <alignment horizontal="left"/>
    </xf>
    <xf numFmtId="0" fontId="20" fillId="3" borderId="4" xfId="0" applyFont="1" applyFill="1" applyBorder="1" applyAlignment="1" applyProtection="1"/>
    <xf numFmtId="0" fontId="20" fillId="3" borderId="0" xfId="0" applyFont="1" applyFill="1" applyBorder="1" applyAlignment="1" applyProtection="1"/>
    <xf numFmtId="0" fontId="19" fillId="3" borderId="3" xfId="0" applyFont="1" applyFill="1" applyBorder="1" applyAlignment="1" applyProtection="1">
      <alignment horizontal="left"/>
    </xf>
    <xf numFmtId="1" fontId="25" fillId="3" borderId="0" xfId="0" applyNumberFormat="1" applyFont="1" applyFill="1" applyBorder="1" applyAlignment="1" applyProtection="1">
      <alignment horizontal="right"/>
    </xf>
    <xf numFmtId="0" fontId="19" fillId="3" borderId="2" xfId="0" applyFont="1" applyFill="1" applyBorder="1" applyAlignment="1" applyProtection="1">
      <alignment horizontal="left"/>
    </xf>
    <xf numFmtId="0" fontId="20" fillId="3" borderId="8" xfId="0" applyFont="1" applyFill="1" applyBorder="1" applyAlignment="1" applyProtection="1">
      <alignment horizontal="right"/>
    </xf>
    <xf numFmtId="0" fontId="20" fillId="3" borderId="0" xfId="0" applyFont="1" applyFill="1" applyBorder="1" applyAlignment="1" applyProtection="1">
      <alignment horizontal="right"/>
    </xf>
    <xf numFmtId="1" fontId="19" fillId="3" borderId="0" xfId="0" applyNumberFormat="1" applyFont="1" applyFill="1" applyBorder="1" applyAlignment="1" applyProtection="1">
      <alignment horizontal="center"/>
    </xf>
    <xf numFmtId="1" fontId="19" fillId="3" borderId="3" xfId="0" applyNumberFormat="1" applyFont="1" applyFill="1" applyBorder="1" applyAlignment="1" applyProtection="1">
      <alignment horizontal="center"/>
    </xf>
    <xf numFmtId="0" fontId="23" fillId="3" borderId="0" xfId="0" applyFont="1" applyFill="1" applyBorder="1" applyAlignment="1" applyProtection="1"/>
    <xf numFmtId="0" fontId="19" fillId="3" borderId="3" xfId="0" applyFont="1" applyFill="1" applyBorder="1" applyProtection="1"/>
    <xf numFmtId="0" fontId="19" fillId="3" borderId="0" xfId="0" applyFont="1" applyFill="1" applyBorder="1" applyAlignment="1" applyProtection="1">
      <alignment horizontal="center"/>
    </xf>
    <xf numFmtId="0" fontId="19" fillId="3" borderId="3" xfId="0" applyFont="1" applyFill="1" applyBorder="1" applyAlignment="1" applyProtection="1">
      <alignment horizontal="center"/>
    </xf>
    <xf numFmtId="0" fontId="25" fillId="3" borderId="1" xfId="0" applyFont="1" applyFill="1" applyBorder="1" applyProtection="1"/>
    <xf numFmtId="2" fontId="20" fillId="3" borderId="2" xfId="0" applyNumberFormat="1" applyFont="1" applyFill="1" applyBorder="1" applyProtection="1"/>
    <xf numFmtId="168" fontId="20" fillId="3" borderId="4" xfId="0" applyNumberFormat="1" applyFont="1" applyFill="1" applyBorder="1" applyAlignment="1" applyProtection="1"/>
    <xf numFmtId="168" fontId="20" fillId="3" borderId="0" xfId="0" applyNumberFormat="1" applyFont="1" applyFill="1" applyBorder="1" applyAlignment="1" applyProtection="1"/>
    <xf numFmtId="0" fontId="20" fillId="3" borderId="5" xfId="0" applyFont="1" applyFill="1" applyBorder="1" applyProtection="1"/>
    <xf numFmtId="0" fontId="20" fillId="3" borderId="6" xfId="0" applyNumberFormat="1" applyFont="1" applyFill="1" applyBorder="1" applyProtection="1"/>
    <xf numFmtId="0" fontId="25" fillId="3" borderId="0" xfId="0" applyFont="1" applyFill="1" applyBorder="1" applyAlignment="1" applyProtection="1">
      <alignment horizontal="center"/>
    </xf>
    <xf numFmtId="14" fontId="19" fillId="3" borderId="2" xfId="0" applyNumberFormat="1" applyFont="1" applyFill="1" applyBorder="1" applyProtection="1"/>
    <xf numFmtId="0" fontId="20" fillId="3" borderId="8" xfId="0" applyFont="1" applyFill="1" applyBorder="1" applyAlignment="1" applyProtection="1">
      <alignment horizontal="center"/>
    </xf>
    <xf numFmtId="0" fontId="21" fillId="3" borderId="4" xfId="0" applyFont="1" applyFill="1" applyBorder="1" applyProtection="1"/>
    <xf numFmtId="0" fontId="21" fillId="3" borderId="0" xfId="0" applyFont="1" applyFill="1" applyBorder="1" applyProtection="1"/>
    <xf numFmtId="0" fontId="20" fillId="3" borderId="3" xfId="0" applyFont="1" applyFill="1" applyBorder="1" applyAlignment="1" applyProtection="1">
      <alignment horizontal="center"/>
    </xf>
    <xf numFmtId="0" fontId="21" fillId="3" borderId="0" xfId="0" applyFont="1" applyFill="1" applyBorder="1" applyAlignment="1" applyProtection="1"/>
    <xf numFmtId="49" fontId="20" fillId="3" borderId="0" xfId="0" applyNumberFormat="1" applyFont="1" applyFill="1" applyBorder="1" applyAlignment="1" applyProtection="1">
      <alignment horizontal="center"/>
    </xf>
    <xf numFmtId="0" fontId="21" fillId="3" borderId="3" xfId="0" applyFont="1" applyFill="1" applyBorder="1" applyProtection="1"/>
    <xf numFmtId="0" fontId="22" fillId="3" borderId="0" xfId="0" applyFont="1" applyFill="1" applyBorder="1" applyAlignment="1" applyProtection="1">
      <alignment horizontal="left"/>
    </xf>
    <xf numFmtId="0" fontId="21" fillId="3" borderId="0" xfId="0" applyFont="1" applyFill="1" applyBorder="1" applyAlignment="1" applyProtection="1">
      <alignment horizontal="left"/>
    </xf>
    <xf numFmtId="0" fontId="20" fillId="3" borderId="6" xfId="0" applyFont="1" applyFill="1" applyBorder="1" applyAlignment="1" applyProtection="1"/>
    <xf numFmtId="0" fontId="19" fillId="3" borderId="6" xfId="0" applyFont="1" applyFill="1" applyBorder="1" applyAlignment="1" applyProtection="1">
      <alignment horizontal="left"/>
    </xf>
    <xf numFmtId="0" fontId="19" fillId="3" borderId="7" xfId="0" applyFont="1" applyFill="1" applyBorder="1" applyProtection="1"/>
    <xf numFmtId="0" fontId="15" fillId="3" borderId="0" xfId="0" applyFont="1" applyFill="1" applyBorder="1" applyProtection="1"/>
    <xf numFmtId="0" fontId="10" fillId="0" borderId="0" xfId="3" applyFont="1">
      <alignment vertical="center"/>
    </xf>
    <xf numFmtId="0" fontId="10" fillId="0" borderId="0" xfId="3" applyFont="1" applyAlignment="1">
      <alignment horizontal="center" vertical="center"/>
    </xf>
    <xf numFmtId="0" fontId="18" fillId="4" borderId="9" xfId="3" applyFont="1" applyFill="1" applyBorder="1" applyAlignment="1">
      <alignment horizontal="center" vertical="center"/>
    </xf>
    <xf numFmtId="0" fontId="18" fillId="0" borderId="0" xfId="3" applyFont="1" applyFill="1" applyBorder="1" applyAlignment="1">
      <alignment horizontal="left" vertical="center"/>
    </xf>
    <xf numFmtId="0" fontId="10" fillId="0" borderId="0" xfId="3" applyFont="1" applyBorder="1">
      <alignment vertical="center"/>
    </xf>
    <xf numFmtId="0" fontId="10" fillId="0" borderId="0" xfId="3" applyFont="1" applyFill="1">
      <alignment vertical="center"/>
    </xf>
    <xf numFmtId="0" fontId="16" fillId="5" borderId="9" xfId="3" applyFont="1" applyFill="1" applyBorder="1" applyAlignment="1">
      <alignment horizontal="center" vertical="center"/>
    </xf>
    <xf numFmtId="0" fontId="18" fillId="5" borderId="9" xfId="3" applyFont="1" applyFill="1" applyBorder="1">
      <alignment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9" xfId="3" applyFont="1" applyFill="1" applyBorder="1">
      <alignment vertical="center"/>
    </xf>
    <xf numFmtId="0" fontId="10" fillId="0" borderId="9" xfId="3" applyFont="1" applyBorder="1">
      <alignment vertical="center"/>
    </xf>
    <xf numFmtId="0" fontId="16" fillId="5" borderId="10" xfId="3" applyFont="1" applyFill="1" applyBorder="1" applyAlignment="1">
      <alignment vertical="center"/>
    </xf>
    <xf numFmtId="0" fontId="16" fillId="5" borderId="11" xfId="3" applyFont="1" applyFill="1" applyBorder="1" applyAlignment="1">
      <alignment vertical="center"/>
    </xf>
    <xf numFmtId="0" fontId="18" fillId="0" borderId="0" xfId="3" applyFont="1" applyFill="1" applyBorder="1" applyAlignment="1">
      <alignment horizontal="center" vertical="center"/>
    </xf>
    <xf numFmtId="0" fontId="10" fillId="0" borderId="0" xfId="3" applyFont="1" applyFill="1" applyBorder="1">
      <alignment vertical="center"/>
    </xf>
    <xf numFmtId="0" fontId="10" fillId="0" borderId="11" xfId="3" applyFont="1" applyFill="1" applyBorder="1">
      <alignment vertical="center"/>
    </xf>
    <xf numFmtId="0" fontId="10" fillId="6" borderId="9" xfId="3" applyFont="1" applyFill="1" applyBorder="1">
      <alignment vertical="center"/>
    </xf>
    <xf numFmtId="0" fontId="10" fillId="0" borderId="10" xfId="3" applyFont="1" applyBorder="1">
      <alignment vertical="center"/>
    </xf>
    <xf numFmtId="0" fontId="18" fillId="0" borderId="0" xfId="3" applyFont="1" applyFill="1" applyAlignment="1">
      <alignment horizontal="center" vertical="center"/>
    </xf>
    <xf numFmtId="0" fontId="10" fillId="5" borderId="9" xfId="3" applyFont="1" applyFill="1" applyBorder="1">
      <alignment vertical="center"/>
    </xf>
    <xf numFmtId="0" fontId="18" fillId="0" borderId="0" xfId="3" applyFont="1">
      <alignment vertical="center"/>
    </xf>
    <xf numFmtId="0" fontId="16" fillId="0" borderId="0" xfId="3" applyFont="1" applyFill="1" applyBorder="1" applyAlignment="1">
      <alignment horizontal="left" vertical="center"/>
    </xf>
    <xf numFmtId="0" fontId="24" fillId="3" borderId="0" xfId="0" applyFont="1" applyFill="1" applyBorder="1" applyAlignment="1" applyProtection="1">
      <alignment horizontal="left"/>
      <protection locked="0"/>
    </xf>
    <xf numFmtId="1" fontId="24" fillId="3" borderId="0" xfId="0" applyNumberFormat="1" applyFont="1" applyFill="1" applyBorder="1" applyAlignment="1" applyProtection="1">
      <alignment horizontal="center"/>
    </xf>
    <xf numFmtId="0" fontId="10" fillId="0" borderId="0" xfId="3" applyFont="1" applyFill="1" applyAlignment="1">
      <alignment horizontal="center" vertical="center"/>
    </xf>
    <xf numFmtId="1" fontId="10" fillId="0" borderId="0" xfId="3" applyNumberFormat="1" applyFont="1" applyFill="1" applyAlignment="1">
      <alignment horizontal="center" vertical="center"/>
    </xf>
    <xf numFmtId="0" fontId="27" fillId="0" borderId="9" xfId="3" applyFont="1" applyFill="1" applyBorder="1">
      <alignment vertical="center"/>
    </xf>
    <xf numFmtId="1" fontId="10" fillId="0" borderId="9" xfId="3" applyNumberFormat="1" applyFont="1" applyFill="1" applyBorder="1">
      <alignment vertical="center"/>
    </xf>
    <xf numFmtId="0" fontId="0" fillId="7" borderId="9" xfId="0" applyFill="1" applyBorder="1" applyAlignment="1" applyProtection="1">
      <protection locked="0"/>
    </xf>
    <xf numFmtId="0" fontId="0" fillId="7" borderId="9" xfId="0" applyFill="1" applyBorder="1" applyProtection="1">
      <protection locked="0"/>
    </xf>
    <xf numFmtId="0" fontId="10" fillId="8" borderId="9" xfId="3" applyFont="1" applyFill="1" applyBorder="1">
      <alignment vertical="center"/>
    </xf>
    <xf numFmtId="1" fontId="10" fillId="8" borderId="9" xfId="3" applyNumberFormat="1" applyFont="1" applyFill="1" applyBorder="1">
      <alignment vertical="center"/>
    </xf>
    <xf numFmtId="0" fontId="0" fillId="9" borderId="0" xfId="0" applyFill="1" applyBorder="1" applyProtection="1"/>
    <xf numFmtId="0" fontId="10" fillId="9" borderId="0" xfId="3" applyFont="1" applyFill="1" applyBorder="1">
      <alignment vertical="center"/>
    </xf>
    <xf numFmtId="0" fontId="1" fillId="3" borderId="0" xfId="0" applyFont="1" applyFill="1" applyBorder="1" applyAlignment="1" applyProtection="1">
      <alignment horizontal="left"/>
    </xf>
    <xf numFmtId="0" fontId="2" fillId="3" borderId="0" xfId="0" applyFont="1" applyFill="1" applyBorder="1" applyAlignment="1" applyProtection="1"/>
    <xf numFmtId="166" fontId="4" fillId="3" borderId="0" xfId="0" applyNumberFormat="1" applyFont="1" applyFill="1" applyBorder="1" applyAlignment="1" applyProtection="1"/>
    <xf numFmtId="0" fontId="1" fillId="3" borderId="0" xfId="0" applyFont="1" applyFill="1" applyBorder="1" applyAlignment="1" applyProtection="1">
      <alignment horizontal="left"/>
    </xf>
    <xf numFmtId="0" fontId="1" fillId="3" borderId="0" xfId="0" applyFont="1" applyFill="1" applyBorder="1" applyAlignment="1" applyProtection="1">
      <alignment horizontal="left"/>
    </xf>
    <xf numFmtId="0" fontId="35" fillId="3" borderId="0" xfId="0" applyFont="1" applyFill="1" applyProtection="1">
      <protection locked="0" hidden="1"/>
    </xf>
    <xf numFmtId="167" fontId="35" fillId="3" borderId="0" xfId="0" applyNumberFormat="1" applyFont="1" applyFill="1" applyProtection="1">
      <protection locked="0" hidden="1"/>
    </xf>
    <xf numFmtId="1" fontId="35" fillId="3" borderId="0" xfId="0" applyNumberFormat="1" applyFont="1" applyFill="1" applyProtection="1">
      <protection locked="0" hidden="1"/>
    </xf>
    <xf numFmtId="0" fontId="35" fillId="3" borderId="0" xfId="0" applyFont="1" applyFill="1" applyAlignment="1" applyProtection="1">
      <alignment horizontal="left"/>
      <protection locked="0" hidden="1"/>
    </xf>
    <xf numFmtId="0" fontId="36" fillId="3" borderId="0" xfId="0" applyFont="1" applyFill="1" applyAlignment="1" applyProtection="1">
      <alignment horizontal="center"/>
      <protection locked="0" hidden="1"/>
    </xf>
    <xf numFmtId="1" fontId="35" fillId="3" borderId="0" xfId="0" applyNumberFormat="1" applyFont="1" applyFill="1" applyAlignment="1" applyProtection="1">
      <alignment horizontal="center" vertical="center"/>
      <protection locked="0" hidden="1"/>
    </xf>
    <xf numFmtId="0" fontId="35" fillId="3" borderId="0" xfId="0" applyFont="1" applyFill="1" applyAlignment="1" applyProtection="1">
      <alignment horizontal="center"/>
      <protection locked="0" hidden="1"/>
    </xf>
    <xf numFmtId="1" fontId="36" fillId="3" borderId="0" xfId="0" applyNumberFormat="1" applyFont="1" applyFill="1" applyAlignment="1" applyProtection="1">
      <alignment horizontal="center"/>
      <protection locked="0" hidden="1"/>
    </xf>
    <xf numFmtId="0" fontId="1" fillId="3" borderId="0" xfId="0" applyFont="1" applyFill="1" applyProtection="1">
      <protection locked="0" hidden="1"/>
    </xf>
    <xf numFmtId="167" fontId="1" fillId="3" borderId="0" xfId="0" applyNumberFormat="1" applyFont="1" applyFill="1" applyProtection="1">
      <protection locked="0" hidden="1"/>
    </xf>
    <xf numFmtId="0" fontId="1" fillId="3" borderId="0" xfId="0" applyFont="1" applyFill="1" applyAlignment="1" applyProtection="1">
      <alignment horizontal="left"/>
      <protection locked="0" hidden="1"/>
    </xf>
    <xf numFmtId="167" fontId="1" fillId="3" borderId="0" xfId="0" applyNumberFormat="1" applyFont="1" applyFill="1" applyAlignment="1" applyProtection="1">
      <alignment horizontal="left"/>
      <protection locked="0" hidden="1"/>
    </xf>
    <xf numFmtId="1" fontId="1" fillId="3" borderId="0" xfId="0" applyNumberFormat="1" applyFont="1" applyFill="1" applyProtection="1">
      <protection locked="0" hidden="1"/>
    </xf>
    <xf numFmtId="167" fontId="1" fillId="3" borderId="0" xfId="0" applyNumberFormat="1" applyFont="1" applyFill="1" applyAlignment="1" applyProtection="1">
      <alignment horizontal="right"/>
      <protection locked="0" hidden="1"/>
    </xf>
    <xf numFmtId="167" fontId="10" fillId="3" borderId="0" xfId="0" applyNumberFormat="1" applyFont="1" applyFill="1" applyAlignment="1" applyProtection="1">
      <alignment horizontal="center"/>
      <protection locked="0" hidden="1"/>
    </xf>
    <xf numFmtId="167" fontId="1" fillId="3" borderId="0" xfId="0" applyNumberFormat="1" applyFont="1" applyFill="1" applyAlignment="1" applyProtection="1">
      <alignment horizontal="center" vertical="center"/>
      <protection locked="0" hidden="1"/>
    </xf>
    <xf numFmtId="0" fontId="1" fillId="3" borderId="0" xfId="0" applyFont="1" applyFill="1" applyAlignment="1" applyProtection="1">
      <alignment horizontal="center"/>
      <protection locked="0" hidden="1"/>
    </xf>
    <xf numFmtId="0" fontId="7" fillId="3" borderId="0" xfId="0" applyFont="1" applyFill="1" applyAlignment="1" applyProtection="1">
      <alignment horizontal="right"/>
      <protection locked="0" hidden="1"/>
    </xf>
    <xf numFmtId="0" fontId="7" fillId="3" borderId="0" xfId="0" applyFont="1" applyFill="1" applyProtection="1">
      <protection locked="0" hidden="1"/>
    </xf>
    <xf numFmtId="2" fontId="1" fillId="3" borderId="0" xfId="0" applyNumberFormat="1" applyFont="1" applyFill="1" applyProtection="1">
      <protection locked="0" hidden="1"/>
    </xf>
    <xf numFmtId="0" fontId="37" fillId="3" borderId="0" xfId="0" applyFont="1" applyFill="1" applyAlignment="1" applyProtection="1">
      <alignment horizontal="center"/>
      <protection locked="0" hidden="1"/>
    </xf>
    <xf numFmtId="0" fontId="7" fillId="3" borderId="20" xfId="0" applyFont="1" applyFill="1" applyBorder="1" applyAlignment="1" applyProtection="1">
      <alignment horizontal="center"/>
      <protection locked="0" hidden="1"/>
    </xf>
    <xf numFmtId="0" fontId="7" fillId="3" borderId="21" xfId="0" applyFont="1" applyFill="1" applyBorder="1" applyAlignment="1" applyProtection="1">
      <alignment horizontal="center"/>
      <protection locked="0" hidden="1"/>
    </xf>
    <xf numFmtId="0" fontId="1" fillId="3" borderId="9" xfId="0" applyFont="1" applyFill="1" applyBorder="1" applyProtection="1">
      <protection locked="0" hidden="1"/>
    </xf>
    <xf numFmtId="0" fontId="7" fillId="3" borderId="9" xfId="0" applyFont="1" applyFill="1" applyBorder="1" applyAlignment="1" applyProtection="1">
      <alignment horizontal="center"/>
      <protection locked="0" hidden="1"/>
    </xf>
    <xf numFmtId="0" fontId="1" fillId="3" borderId="17" xfId="0" applyFont="1" applyFill="1" applyBorder="1" applyAlignment="1" applyProtection="1">
      <alignment horizontal="center"/>
      <protection locked="0" hidden="1"/>
    </xf>
    <xf numFmtId="0" fontId="1" fillId="3" borderId="10" xfId="0" applyFont="1" applyFill="1" applyBorder="1" applyAlignment="1" applyProtection="1">
      <protection locked="0" hidden="1"/>
    </xf>
    <xf numFmtId="0" fontId="1" fillId="3" borderId="11" xfId="0" applyFont="1" applyFill="1" applyBorder="1" applyAlignment="1" applyProtection="1">
      <protection locked="0" hidden="1"/>
    </xf>
    <xf numFmtId="1" fontId="1" fillId="3" borderId="10" xfId="0" applyNumberFormat="1" applyFont="1" applyFill="1" applyBorder="1" applyAlignment="1" applyProtection="1">
      <protection locked="0" hidden="1"/>
    </xf>
    <xf numFmtId="167" fontId="1" fillId="3" borderId="10" xfId="0" applyNumberFormat="1" applyFont="1" applyFill="1" applyBorder="1" applyAlignment="1" applyProtection="1">
      <protection locked="0" hidden="1"/>
    </xf>
    <xf numFmtId="0" fontId="37" fillId="3" borderId="9" xfId="0" applyFont="1" applyFill="1" applyBorder="1" applyProtection="1">
      <protection locked="0" hidden="1"/>
    </xf>
    <xf numFmtId="167" fontId="1" fillId="3" borderId="9" xfId="0" applyNumberFormat="1" applyFont="1" applyFill="1" applyBorder="1" applyProtection="1">
      <protection locked="0" hidden="1"/>
    </xf>
    <xf numFmtId="167" fontId="37" fillId="3" borderId="9" xfId="0" applyNumberFormat="1" applyFont="1" applyFill="1" applyBorder="1" applyProtection="1"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0" fontId="1" fillId="3" borderId="10" xfId="0" applyFont="1" applyFill="1" applyBorder="1" applyProtection="1">
      <protection locked="0" hidden="1"/>
    </xf>
    <xf numFmtId="0" fontId="1" fillId="3" borderId="12" xfId="0" applyFont="1" applyFill="1" applyBorder="1" applyProtection="1">
      <protection locked="0" hidden="1"/>
    </xf>
    <xf numFmtId="0" fontId="1" fillId="3" borderId="11" xfId="0" applyFont="1" applyFill="1" applyBorder="1" applyProtection="1">
      <protection locked="0" hidden="1"/>
    </xf>
    <xf numFmtId="167" fontId="1" fillId="3" borderId="9" xfId="0" applyNumberFormat="1" applyFont="1" applyFill="1" applyBorder="1" applyAlignment="1" applyProtection="1">
      <alignment horizontal="center"/>
      <protection locked="0" hidden="1"/>
    </xf>
    <xf numFmtId="0" fontId="1" fillId="3" borderId="0" xfId="0" applyFont="1" applyFill="1" applyBorder="1" applyProtection="1">
      <protection locked="0" hidden="1"/>
    </xf>
    <xf numFmtId="167" fontId="37" fillId="3" borderId="0" xfId="0" applyNumberFormat="1" applyFont="1" applyFill="1" applyAlignment="1" applyProtection="1">
      <alignment horizontal="left"/>
      <protection locked="0" hidden="1"/>
    </xf>
    <xf numFmtId="1" fontId="1" fillId="3" borderId="9" xfId="0" applyNumberFormat="1" applyFont="1" applyFill="1" applyBorder="1" applyAlignment="1" applyProtection="1">
      <alignment horizontal="center"/>
      <protection locked="0" hidden="1"/>
    </xf>
    <xf numFmtId="0" fontId="1" fillId="3" borderId="0" xfId="0" applyFont="1" applyFill="1" applyBorder="1" applyAlignment="1" applyProtection="1">
      <alignment horizontal="center"/>
      <protection locked="0" hidden="1"/>
    </xf>
    <xf numFmtId="0" fontId="7" fillId="3" borderId="9" xfId="0" applyFont="1" applyFill="1" applyBorder="1" applyProtection="1">
      <protection locked="0" hidden="1"/>
    </xf>
    <xf numFmtId="167" fontId="1" fillId="3" borderId="9" xfId="0" applyNumberFormat="1" applyFont="1" applyFill="1" applyBorder="1" applyAlignment="1" applyProtection="1">
      <alignment horizontal="left"/>
      <protection locked="0" hidden="1"/>
    </xf>
    <xf numFmtId="0" fontId="1" fillId="3" borderId="9" xfId="0" applyFont="1" applyFill="1" applyBorder="1" applyAlignment="1" applyProtection="1">
      <alignment horizontal="left"/>
      <protection locked="0" hidden="1"/>
    </xf>
    <xf numFmtId="0" fontId="2" fillId="0" borderId="0" xfId="0" applyFont="1" applyBorder="1" applyProtection="1">
      <protection locked="0" hidden="1"/>
    </xf>
    <xf numFmtId="0" fontId="1" fillId="0" borderId="1" xfId="0" applyFont="1" applyBorder="1" applyProtection="1">
      <protection locked="0" hidden="1"/>
    </xf>
    <xf numFmtId="0" fontId="1" fillId="0" borderId="2" xfId="0" applyFont="1" applyBorder="1" applyProtection="1">
      <protection locked="0" hidden="1"/>
    </xf>
    <xf numFmtId="0" fontId="1" fillId="0" borderId="8" xfId="0" applyFont="1" applyBorder="1" applyProtection="1">
      <protection locked="0" hidden="1"/>
    </xf>
    <xf numFmtId="0" fontId="1" fillId="0" borderId="0" xfId="0" applyFont="1" applyBorder="1" applyProtection="1">
      <protection locked="0" hidden="1"/>
    </xf>
    <xf numFmtId="0" fontId="1" fillId="0" borderId="0" xfId="0" applyFont="1" applyBorder="1" applyProtection="1"/>
    <xf numFmtId="0" fontId="7" fillId="0" borderId="0" xfId="0" applyFont="1" applyBorder="1" applyProtection="1"/>
    <xf numFmtId="0" fontId="1" fillId="0" borderId="0" xfId="0" applyFont="1" applyBorder="1" applyAlignment="1" applyProtection="1">
      <alignment horizontal="center"/>
    </xf>
    <xf numFmtId="170" fontId="1" fillId="0" borderId="0" xfId="0" applyNumberFormat="1" applyFont="1" applyBorder="1" applyProtection="1"/>
    <xf numFmtId="0" fontId="1" fillId="0" borderId="0" xfId="0" applyFont="1" applyProtection="1">
      <protection hidden="1"/>
    </xf>
    <xf numFmtId="166" fontId="7" fillId="0" borderId="0" xfId="0" applyNumberFormat="1" applyFont="1" applyFill="1" applyBorder="1" applyAlignment="1" applyProtection="1">
      <protection locked="0" hidden="1"/>
    </xf>
    <xf numFmtId="0" fontId="1" fillId="0" borderId="1" xfId="0" applyFont="1" applyBorder="1" applyAlignment="1" applyProtection="1">
      <protection locked="0" hidden="1"/>
    </xf>
    <xf numFmtId="0" fontId="7" fillId="0" borderId="2" xfId="0" applyFont="1" applyBorder="1" applyAlignment="1" applyProtection="1">
      <protection locked="0" hidden="1"/>
    </xf>
    <xf numFmtId="0" fontId="8" fillId="0" borderId="0" xfId="0" applyFont="1" applyBorder="1" applyAlignment="1" applyProtection="1">
      <protection locked="0" hidden="1"/>
    </xf>
    <xf numFmtId="0" fontId="8" fillId="0" borderId="3" xfId="0" applyFont="1" applyBorder="1" applyAlignment="1" applyProtection="1">
      <protection locked="0" hidden="1"/>
    </xf>
    <xf numFmtId="0" fontId="1" fillId="0" borderId="0" xfId="0" applyFont="1" applyFill="1" applyBorder="1" applyProtection="1">
      <protection locked="0" hidden="1"/>
    </xf>
    <xf numFmtId="0" fontId="1" fillId="0" borderId="0" xfId="0" applyFont="1" applyFill="1" applyBorder="1" applyProtection="1"/>
    <xf numFmtId="168" fontId="1" fillId="0" borderId="0" xfId="0" applyNumberFormat="1" applyFont="1" applyFill="1" applyBorder="1" applyAlignment="1" applyProtection="1">
      <alignment horizontal="center"/>
    </xf>
    <xf numFmtId="2" fontId="1" fillId="0" borderId="0" xfId="0" applyNumberFormat="1" applyFont="1" applyFill="1" applyProtection="1"/>
    <xf numFmtId="165" fontId="1" fillId="0" borderId="0" xfId="1" applyFont="1" applyProtection="1"/>
    <xf numFmtId="168" fontId="1" fillId="0" borderId="0" xfId="0" applyNumberFormat="1" applyFont="1" applyProtection="1"/>
    <xf numFmtId="168" fontId="1" fillId="0" borderId="0" xfId="1" applyNumberFormat="1" applyFont="1" applyProtection="1"/>
    <xf numFmtId="170" fontId="1" fillId="0" borderId="0" xfId="1" applyNumberFormat="1" applyFont="1" applyProtection="1"/>
    <xf numFmtId="165" fontId="1" fillId="0" borderId="0" xfId="0" applyNumberFormat="1" applyFont="1" applyProtection="1"/>
    <xf numFmtId="166" fontId="1" fillId="0" borderId="0" xfId="0" applyNumberFormat="1" applyFont="1" applyBorder="1" applyProtection="1">
      <protection locked="0" hidden="1"/>
    </xf>
    <xf numFmtId="166" fontId="1" fillId="0" borderId="3" xfId="0" applyNumberFormat="1" applyFont="1" applyBorder="1" applyProtection="1">
      <protection locked="0" hidden="1"/>
    </xf>
    <xf numFmtId="0" fontId="6" fillId="0" borderId="4" xfId="0" applyFont="1" applyBorder="1" applyAlignment="1" applyProtection="1">
      <protection locked="0" hidden="1"/>
    </xf>
    <xf numFmtId="14" fontId="6" fillId="0" borderId="0" xfId="0" applyNumberFormat="1" applyFont="1" applyBorder="1" applyAlignment="1" applyProtection="1">
      <protection locked="0" hidden="1"/>
    </xf>
    <xf numFmtId="14" fontId="6" fillId="0" borderId="3" xfId="0" applyNumberFormat="1" applyFont="1" applyBorder="1" applyAlignment="1" applyProtection="1">
      <protection locked="0" hidden="1"/>
    </xf>
    <xf numFmtId="165" fontId="1" fillId="0" borderId="0" xfId="0" applyNumberFormat="1" applyFont="1" applyFill="1" applyProtection="1"/>
    <xf numFmtId="0" fontId="6" fillId="0" borderId="4" xfId="0" applyFont="1" applyBorder="1" applyAlignment="1" applyProtection="1">
      <alignment horizontal="left"/>
      <protection locked="0" hidden="1"/>
    </xf>
    <xf numFmtId="0" fontId="6" fillId="0" borderId="0" xfId="0" applyFont="1" applyBorder="1" applyAlignment="1" applyProtection="1">
      <alignment horizontal="left"/>
      <protection locked="0" hidden="1"/>
    </xf>
    <xf numFmtId="166" fontId="6" fillId="0" borderId="0" xfId="0" applyNumberFormat="1" applyFont="1" applyBorder="1" applyAlignment="1" applyProtection="1">
      <protection locked="0" hidden="1"/>
    </xf>
    <xf numFmtId="0" fontId="1" fillId="0" borderId="5" xfId="0" applyFont="1" applyBorder="1" applyAlignment="1" applyProtection="1">
      <protection locked="0" hidden="1"/>
    </xf>
    <xf numFmtId="0" fontId="1" fillId="0" borderId="6" xfId="0" applyFont="1" applyBorder="1" applyProtection="1">
      <protection locked="0" hidden="1"/>
    </xf>
    <xf numFmtId="0" fontId="6" fillId="0" borderId="6" xfId="0" applyFont="1" applyBorder="1" applyAlignment="1" applyProtection="1">
      <protection locked="0" hidden="1"/>
    </xf>
    <xf numFmtId="14" fontId="7" fillId="0" borderId="0" xfId="0" applyNumberFormat="1" applyFont="1" applyBorder="1" applyAlignment="1" applyProtection="1">
      <protection locked="0" hidden="1"/>
    </xf>
    <xf numFmtId="14" fontId="7" fillId="0" borderId="3" xfId="0" applyNumberFormat="1" applyFont="1" applyBorder="1" applyAlignment="1" applyProtection="1">
      <protection locked="0" hidden="1"/>
    </xf>
    <xf numFmtId="0" fontId="2" fillId="0" borderId="4" xfId="0" applyFont="1" applyBorder="1" applyProtection="1">
      <protection locked="0" hidden="1"/>
    </xf>
    <xf numFmtId="0" fontId="1" fillId="0" borderId="3" xfId="0" applyFont="1" applyBorder="1" applyProtection="1">
      <protection locked="0" hidden="1"/>
    </xf>
    <xf numFmtId="0" fontId="2" fillId="0" borderId="5" xfId="0" applyFont="1" applyBorder="1" applyProtection="1">
      <protection locked="0" hidden="1"/>
    </xf>
    <xf numFmtId="0" fontId="2" fillId="0" borderId="6" xfId="0" applyFont="1" applyBorder="1" applyProtection="1">
      <protection locked="0" hidden="1"/>
    </xf>
    <xf numFmtId="170" fontId="1" fillId="0" borderId="0" xfId="0" applyNumberFormat="1" applyFont="1" applyProtection="1"/>
    <xf numFmtId="0" fontId="1" fillId="0" borderId="0" xfId="0" applyFont="1" applyProtection="1"/>
    <xf numFmtId="166" fontId="6" fillId="0" borderId="0" xfId="0" applyNumberFormat="1" applyFont="1" applyBorder="1" applyAlignment="1" applyProtection="1">
      <alignment horizontal="left"/>
      <protection locked="0" hidden="1"/>
    </xf>
    <xf numFmtId="0" fontId="1" fillId="0" borderId="4" xfId="0" applyFont="1" applyBorder="1" applyProtection="1">
      <protection locked="0" hidden="1"/>
    </xf>
    <xf numFmtId="0" fontId="7" fillId="0" borderId="0" xfId="0" applyFont="1" applyBorder="1" applyProtection="1">
      <protection locked="0" hidden="1"/>
    </xf>
    <xf numFmtId="0" fontId="7" fillId="0" borderId="0" xfId="0" applyFont="1" applyFill="1" applyBorder="1" applyAlignment="1" applyProtection="1">
      <protection locked="0" hidden="1"/>
    </xf>
    <xf numFmtId="0" fontId="8" fillId="0" borderId="0" xfId="0" applyFont="1" applyFill="1" applyBorder="1" applyAlignment="1" applyProtection="1">
      <alignment horizontal="center"/>
      <protection locked="0" hidden="1"/>
    </xf>
    <xf numFmtId="0" fontId="8" fillId="2" borderId="0" xfId="0" applyFont="1" applyFill="1" applyBorder="1" applyAlignment="1" applyProtection="1">
      <alignment horizontal="center"/>
      <protection locked="0" hidden="1"/>
    </xf>
    <xf numFmtId="0" fontId="8" fillId="0" borderId="0" xfId="0" applyFont="1" applyFill="1" applyBorder="1" applyProtection="1">
      <protection locked="0" hidden="1"/>
    </xf>
    <xf numFmtId="0" fontId="6" fillId="0" borderId="0" xfId="0" applyFont="1" applyFill="1" applyBorder="1" applyProtection="1">
      <protection locked="0" hidden="1"/>
    </xf>
    <xf numFmtId="0" fontId="10" fillId="0" borderId="4" xfId="0" applyFont="1" applyBorder="1" applyProtection="1">
      <protection locked="0" hidden="1"/>
    </xf>
    <xf numFmtId="0" fontId="10" fillId="0" borderId="0" xfId="0" applyFont="1" applyBorder="1" applyProtection="1">
      <protection locked="0" hidden="1"/>
    </xf>
    <xf numFmtId="2" fontId="10" fillId="0" borderId="4" xfId="0" applyNumberFormat="1" applyFont="1" applyBorder="1" applyAlignment="1" applyProtection="1">
      <protection locked="0" hidden="1"/>
    </xf>
    <xf numFmtId="0" fontId="10" fillId="0" borderId="0" xfId="0" applyFont="1" applyBorder="1" applyAlignment="1" applyProtection="1">
      <alignment horizontal="left"/>
      <protection locked="0" hidden="1"/>
    </xf>
    <xf numFmtId="1" fontId="2" fillId="0" borderId="0" xfId="0" applyNumberFormat="1" applyFont="1" applyFill="1" applyBorder="1" applyAlignment="1" applyProtection="1">
      <protection locked="0" hidden="1"/>
    </xf>
    <xf numFmtId="0" fontId="1" fillId="2" borderId="0" xfId="0" applyFont="1" applyFill="1" applyBorder="1" applyProtection="1">
      <protection locked="0" hidden="1"/>
    </xf>
    <xf numFmtId="0" fontId="1" fillId="0" borderId="0" xfId="0" applyFont="1" applyProtection="1">
      <protection locked="0" hidden="1"/>
    </xf>
    <xf numFmtId="0" fontId="10" fillId="0" borderId="4" xfId="0" applyFont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protection locked="0" hidden="1"/>
    </xf>
    <xf numFmtId="0" fontId="2" fillId="2" borderId="0" xfId="0" applyFont="1" applyFill="1" applyBorder="1" applyProtection="1">
      <protection locked="0" hidden="1"/>
    </xf>
    <xf numFmtId="168" fontId="1" fillId="0" borderId="0" xfId="0" applyNumberFormat="1" applyFont="1" applyBorder="1" applyProtection="1">
      <protection locked="0" hidden="1"/>
    </xf>
    <xf numFmtId="167" fontId="10" fillId="0" borderId="0" xfId="0" applyNumberFormat="1" applyFont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alignment horizontal="left"/>
      <protection locked="0" hidden="1"/>
    </xf>
    <xf numFmtId="0" fontId="2" fillId="0" borderId="4" xfId="0" applyFont="1" applyBorder="1" applyAlignment="1" applyProtection="1">
      <protection locked="0" hidden="1"/>
    </xf>
    <xf numFmtId="1" fontId="2" fillId="0" borderId="0" xfId="0" applyNumberFormat="1" applyFont="1" applyBorder="1" applyAlignment="1" applyProtection="1">
      <protection locked="0" hidden="1"/>
    </xf>
    <xf numFmtId="0" fontId="10" fillId="0" borderId="4" xfId="0" applyFont="1" applyBorder="1" applyAlignment="1" applyProtection="1">
      <protection locked="0" hidden="1"/>
    </xf>
    <xf numFmtId="1" fontId="8" fillId="0" borderId="0" xfId="0" applyNumberFormat="1" applyFont="1" applyBorder="1" applyAlignment="1" applyProtection="1">
      <alignment horizontal="center"/>
      <protection locked="0" hidden="1"/>
    </xf>
    <xf numFmtId="0" fontId="1" fillId="0" borderId="0" xfId="0" applyFont="1" applyFill="1" applyBorder="1" applyAlignment="1" applyProtection="1">
      <alignment horizontal="left"/>
      <protection locked="0" hidden="1"/>
    </xf>
    <xf numFmtId="0" fontId="2" fillId="0" borderId="0" xfId="0" applyFont="1" applyFill="1" applyBorder="1" applyAlignment="1" applyProtection="1">
      <alignment horizontal="left"/>
      <protection locked="0" hidden="1"/>
    </xf>
    <xf numFmtId="0" fontId="2" fillId="0" borderId="0" xfId="0" applyFont="1" applyFill="1" applyBorder="1" applyAlignment="1" applyProtection="1">
      <protection locked="0" hidden="1"/>
    </xf>
    <xf numFmtId="0" fontId="1" fillId="0" borderId="0" xfId="0" applyFont="1" applyFill="1" applyBorder="1" applyAlignment="1" applyProtection="1">
      <protection locked="0" hidden="1"/>
    </xf>
    <xf numFmtId="0" fontId="10" fillId="0" borderId="0" xfId="0" applyFont="1" applyFill="1" applyBorder="1" applyAlignment="1" applyProtection="1">
      <protection locked="0" hidden="1"/>
    </xf>
    <xf numFmtId="0" fontId="6" fillId="0" borderId="0" xfId="0" applyFont="1" applyBorder="1" applyAlignment="1" applyProtection="1">
      <protection locked="0" hidden="1"/>
    </xf>
    <xf numFmtId="0" fontId="1" fillId="2" borderId="0" xfId="0" applyFont="1" applyFill="1" applyBorder="1" applyAlignment="1" applyProtection="1">
      <protection locked="0" hidden="1"/>
    </xf>
    <xf numFmtId="0" fontId="1" fillId="0" borderId="0" xfId="0" applyFont="1" applyBorder="1" applyAlignment="1" applyProtection="1">
      <protection locked="0" hidden="1"/>
    </xf>
    <xf numFmtId="0" fontId="1" fillId="0" borderId="0" xfId="0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>
      <alignment horizontal="center"/>
      <protection locked="0" hidden="1"/>
    </xf>
    <xf numFmtId="167" fontId="2" fillId="0" borderId="0" xfId="0" applyNumberFormat="1" applyFont="1" applyBorder="1" applyProtection="1">
      <protection locked="0" hidden="1"/>
    </xf>
    <xf numFmtId="166" fontId="2" fillId="0" borderId="0" xfId="0" applyNumberFormat="1" applyFont="1" applyBorder="1" applyAlignment="1" applyProtection="1">
      <alignment horizontal="left"/>
      <protection locked="0" hidden="1"/>
    </xf>
    <xf numFmtId="0" fontId="38" fillId="0" borderId="0" xfId="0" applyFont="1" applyAlignment="1" applyProtection="1">
      <alignment horizontal="center"/>
      <protection locked="0" hidden="1"/>
    </xf>
    <xf numFmtId="0" fontId="10" fillId="0" borderId="0" xfId="0" applyFont="1" applyBorder="1" applyAlignment="1" applyProtection="1">
      <protection locked="0" hidden="1"/>
    </xf>
    <xf numFmtId="166" fontId="10" fillId="0" borderId="0" xfId="0" applyNumberFormat="1" applyFont="1" applyFill="1" applyBorder="1" applyAlignment="1" applyProtection="1">
      <alignment horizontal="left"/>
      <protection locked="0" hidden="1"/>
    </xf>
    <xf numFmtId="1" fontId="2" fillId="0" borderId="0" xfId="0" applyNumberFormat="1" applyFont="1" applyBorder="1" applyAlignment="1" applyProtection="1">
      <alignment horizontal="left"/>
      <protection locked="0" hidden="1"/>
    </xf>
    <xf numFmtId="0" fontId="37" fillId="0" borderId="0" xfId="0" applyFont="1" applyBorder="1" applyProtection="1">
      <protection locked="0" hidden="1"/>
    </xf>
    <xf numFmtId="166" fontId="10" fillId="0" borderId="0" xfId="0" applyNumberFormat="1" applyFont="1" applyBorder="1" applyProtection="1">
      <protection locked="0" hidden="1"/>
    </xf>
    <xf numFmtId="1" fontId="1" fillId="2" borderId="0" xfId="0" applyNumberFormat="1" applyFont="1" applyFill="1" applyBorder="1" applyProtection="1">
      <protection locked="0" hidden="1"/>
    </xf>
    <xf numFmtId="166" fontId="2" fillId="0" borderId="0" xfId="0" applyNumberFormat="1" applyFont="1" applyFill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alignment horizontal="center"/>
      <protection locked="0" hidden="1"/>
    </xf>
    <xf numFmtId="1" fontId="8" fillId="0" borderId="0" xfId="0" applyNumberFormat="1" applyFont="1" applyFill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alignment horizontal="right"/>
      <protection locked="0" hidden="1"/>
    </xf>
    <xf numFmtId="0" fontId="1" fillId="0" borderId="0" xfId="0" applyFont="1" applyBorder="1" applyAlignment="1" applyProtection="1">
      <alignment horizontal="center"/>
      <protection locked="0" hidden="1"/>
    </xf>
    <xf numFmtId="1" fontId="1" fillId="0" borderId="0" xfId="0" applyNumberFormat="1" applyFont="1" applyBorder="1" applyAlignment="1" applyProtection="1">
      <alignment horizontal="left"/>
      <protection locked="0" hidden="1"/>
    </xf>
    <xf numFmtId="49" fontId="8" fillId="0" borderId="0" xfId="0" applyNumberFormat="1" applyFont="1" applyBorder="1" applyAlignment="1" applyProtection="1">
      <alignment horizontal="right"/>
      <protection hidden="1"/>
    </xf>
    <xf numFmtId="171" fontId="2" fillId="0" borderId="0" xfId="0" applyNumberFormat="1" applyFont="1" applyBorder="1" applyAlignment="1" applyProtection="1">
      <alignment horizontal="left"/>
      <protection locked="0" hidden="1"/>
    </xf>
    <xf numFmtId="0" fontId="1" fillId="0" borderId="0" xfId="0" applyFont="1" applyBorder="1" applyAlignment="1" applyProtection="1">
      <alignment horizontal="left"/>
      <protection locked="0" hidden="1"/>
    </xf>
    <xf numFmtId="0" fontId="38" fillId="0" borderId="0" xfId="0" applyFont="1" applyProtection="1">
      <protection locked="0" hidden="1"/>
    </xf>
    <xf numFmtId="14" fontId="10" fillId="0" borderId="0" xfId="0" applyNumberFormat="1" applyFont="1" applyFill="1" applyBorder="1" applyAlignment="1" applyProtection="1">
      <alignment horizontal="left"/>
      <protection locked="0" hidden="1"/>
    </xf>
    <xf numFmtId="0" fontId="8" fillId="0" borderId="0" xfId="0" applyFont="1" applyBorder="1" applyAlignment="1" applyProtection="1">
      <alignment horizontal="left"/>
      <protection locked="0" hidden="1"/>
    </xf>
    <xf numFmtId="0" fontId="39" fillId="0" borderId="0" xfId="0" applyFont="1" applyBorder="1" applyAlignment="1" applyProtection="1">
      <alignment horizontal="left"/>
      <protection locked="0" hidden="1"/>
    </xf>
    <xf numFmtId="0" fontId="39" fillId="0" borderId="0" xfId="0" applyFont="1" applyBorder="1" applyProtection="1">
      <protection locked="0" hidden="1"/>
    </xf>
    <xf numFmtId="0" fontId="39" fillId="0" borderId="0" xfId="0" applyFont="1" applyBorder="1" applyAlignment="1" applyProtection="1">
      <alignment horizontal="center"/>
      <protection locked="0" hidden="1"/>
    </xf>
    <xf numFmtId="0" fontId="6" fillId="0" borderId="4" xfId="0" applyFont="1" applyBorder="1" applyProtection="1">
      <protection locked="0" hidden="1"/>
    </xf>
    <xf numFmtId="0" fontId="6" fillId="0" borderId="0" xfId="0" applyFont="1" applyBorder="1" applyProtection="1">
      <protection locked="0" hidden="1"/>
    </xf>
    <xf numFmtId="0" fontId="1" fillId="0" borderId="0" xfId="0" applyFont="1" applyFill="1" applyProtection="1"/>
    <xf numFmtId="0" fontId="7" fillId="0" borderId="4" xfId="0" applyFont="1" applyBorder="1" applyAlignment="1" applyProtection="1">
      <alignment horizontal="left"/>
      <protection locked="0" hidden="1"/>
    </xf>
    <xf numFmtId="0" fontId="7" fillId="0" borderId="0" xfId="0" applyFont="1" applyBorder="1" applyAlignment="1" applyProtection="1">
      <alignment horizontal="left"/>
      <protection locked="0" hidden="1"/>
    </xf>
    <xf numFmtId="0" fontId="1" fillId="0" borderId="0" xfId="0" applyFont="1" applyFill="1" applyBorder="1" applyAlignment="1" applyProtection="1">
      <alignment horizontal="right"/>
      <protection locked="0" hidden="1"/>
    </xf>
    <xf numFmtId="0" fontId="1" fillId="0" borderId="0" xfId="0" applyFont="1" applyFill="1" applyBorder="1" applyAlignment="1" applyProtection="1">
      <alignment horizontal="center"/>
      <protection locked="0" hidden="1"/>
    </xf>
    <xf numFmtId="0" fontId="1" fillId="0" borderId="0" xfId="0" applyFont="1" applyFill="1" applyBorder="1" applyAlignment="1" applyProtection="1">
      <alignment horizontal="left" vertical="center"/>
      <protection locked="0" hidden="1"/>
    </xf>
    <xf numFmtId="0" fontId="5" fillId="0" borderId="0" xfId="0" applyFont="1" applyBorder="1" applyAlignment="1" applyProtection="1">
      <alignment horizontal="left"/>
      <protection locked="0" hidden="1"/>
    </xf>
    <xf numFmtId="0" fontId="40" fillId="0" borderId="0" xfId="0" applyFont="1" applyBorder="1" applyAlignment="1" applyProtection="1">
      <alignment horizontal="left" vertical="center"/>
      <protection locked="0" hidden="1"/>
    </xf>
    <xf numFmtId="0" fontId="41" fillId="0" borderId="0" xfId="0" applyFont="1" applyBorder="1" applyAlignment="1" applyProtection="1">
      <alignment horizontal="left" vertical="center"/>
      <protection locked="0" hidden="1"/>
    </xf>
    <xf numFmtId="0" fontId="7" fillId="0" borderId="0" xfId="0" applyFont="1" applyBorder="1" applyAlignment="1" applyProtection="1">
      <alignment horizontal="left" vertical="center"/>
      <protection locked="0" hidden="1"/>
    </xf>
    <xf numFmtId="0" fontId="7" fillId="0" borderId="0" xfId="0" applyFont="1" applyBorder="1" applyAlignment="1" applyProtection="1">
      <protection locked="0" hidden="1"/>
    </xf>
    <xf numFmtId="0" fontId="42" fillId="0" borderId="0" xfId="0" applyFont="1" applyBorder="1" applyAlignment="1" applyProtection="1">
      <protection locked="0" hidden="1"/>
    </xf>
    <xf numFmtId="0" fontId="1" fillId="0" borderId="0" xfId="0" applyFont="1" applyBorder="1" applyAlignment="1" applyProtection="1">
      <alignment horizontal="left" vertical="center"/>
      <protection locked="0" hidden="1"/>
    </xf>
    <xf numFmtId="165" fontId="7" fillId="0" borderId="0" xfId="0" applyNumberFormat="1" applyFont="1" applyBorder="1" applyProtection="1"/>
    <xf numFmtId="166" fontId="10" fillId="0" borderId="0" xfId="0" applyNumberFormat="1" applyFont="1" applyBorder="1" applyAlignment="1" applyProtection="1">
      <alignment horizontal="left"/>
      <protection locked="0" hidden="1"/>
    </xf>
    <xf numFmtId="0" fontId="1" fillId="0" borderId="0" xfId="0" applyFont="1" applyFill="1" applyBorder="1" applyProtection="1">
      <protection hidden="1"/>
    </xf>
    <xf numFmtId="0" fontId="8" fillId="0" borderId="0" xfId="0" applyFont="1" applyBorder="1" applyProtection="1">
      <protection locked="0" hidden="1"/>
    </xf>
    <xf numFmtId="167" fontId="7" fillId="0" borderId="0" xfId="0" applyNumberFormat="1" applyFont="1" applyBorder="1" applyAlignment="1" applyProtection="1">
      <alignment horizontal="left"/>
      <protection locked="0" hidden="1"/>
    </xf>
    <xf numFmtId="0" fontId="5" fillId="0" borderId="0" xfId="0" applyFont="1" applyBorder="1" applyProtection="1">
      <protection locked="0" hidden="1"/>
    </xf>
    <xf numFmtId="0" fontId="5" fillId="0" borderId="4" xfId="0" applyFont="1" applyBorder="1" applyProtection="1">
      <protection locked="0" hidden="1"/>
    </xf>
    <xf numFmtId="0" fontId="1" fillId="0" borderId="0" xfId="0" applyFont="1" applyBorder="1" applyProtection="1">
      <protection hidden="1"/>
    </xf>
    <xf numFmtId="172" fontId="6" fillId="0" borderId="0" xfId="0" applyNumberFormat="1" applyFont="1" applyBorder="1" applyAlignment="1" applyProtection="1">
      <alignment horizontal="left"/>
      <protection locked="0" hidden="1"/>
    </xf>
    <xf numFmtId="2" fontId="7" fillId="0" borderId="0" xfId="0" applyNumberFormat="1" applyFont="1" applyBorder="1" applyAlignment="1" applyProtection="1">
      <alignment horizontal="center"/>
      <protection locked="0" hidden="1"/>
    </xf>
    <xf numFmtId="0" fontId="1" fillId="0" borderId="4" xfId="0" applyFont="1" applyBorder="1" applyAlignment="1" applyProtection="1">
      <alignment horizontal="right"/>
      <protection locked="0" hidden="1"/>
    </xf>
    <xf numFmtId="0" fontId="43" fillId="0" borderId="0" xfId="0" applyFont="1" applyBorder="1" applyAlignment="1" applyProtection="1">
      <alignment horizontal="left"/>
      <protection locked="0" hidden="1"/>
    </xf>
    <xf numFmtId="0" fontId="43" fillId="0" borderId="0" xfId="0" applyFont="1" applyBorder="1" applyAlignment="1" applyProtection="1">
      <protection locked="0" hidden="1"/>
    </xf>
    <xf numFmtId="0" fontId="1" fillId="0" borderId="4" xfId="0" applyFont="1" applyFill="1" applyBorder="1" applyProtection="1">
      <protection locked="0" hidden="1"/>
    </xf>
    <xf numFmtId="0" fontId="1" fillId="0" borderId="5" xfId="0" applyFont="1" applyFill="1" applyBorder="1" applyProtection="1">
      <protection locked="0" hidden="1"/>
    </xf>
    <xf numFmtId="0" fontId="1" fillId="0" borderId="6" xfId="0" applyFont="1" applyBorder="1" applyAlignment="1" applyProtection="1">
      <alignment horizontal="center"/>
      <protection locked="0" hidden="1"/>
    </xf>
    <xf numFmtId="0" fontId="1" fillId="0" borderId="7" xfId="0" applyFont="1" applyBorder="1" applyProtection="1">
      <protection locked="0" hidden="1"/>
    </xf>
    <xf numFmtId="1" fontId="1" fillId="0" borderId="0" xfId="0" applyNumberFormat="1" applyFont="1" applyProtection="1">
      <protection hidden="1"/>
    </xf>
    <xf numFmtId="0" fontId="6" fillId="0" borderId="0" xfId="0" applyFont="1" applyProtection="1">
      <protection hidden="1"/>
    </xf>
    <xf numFmtId="1" fontId="1" fillId="0" borderId="0" xfId="0" applyNumberFormat="1" applyFont="1" applyFill="1" applyBorder="1" applyProtection="1">
      <protection hidden="1"/>
    </xf>
    <xf numFmtId="167" fontId="37" fillId="3" borderId="9" xfId="0" applyNumberFormat="1" applyFont="1" applyFill="1" applyBorder="1" applyAlignment="1" applyProtection="1">
      <alignment horizontal="left"/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0" fontId="1" fillId="3" borderId="22" xfId="0" applyFont="1" applyFill="1" applyBorder="1" applyProtection="1">
      <protection locked="0" hidden="1"/>
    </xf>
    <xf numFmtId="0" fontId="45" fillId="3" borderId="0" xfId="0" applyFont="1" applyFill="1" applyAlignment="1" applyProtection="1">
      <alignment horizontal="center"/>
      <protection locked="0" hidden="1"/>
    </xf>
    <xf numFmtId="0" fontId="1" fillId="3" borderId="0" xfId="0" applyFont="1" applyFill="1" applyBorder="1" applyAlignment="1" applyProtection="1">
      <alignment horizontal="left"/>
    </xf>
    <xf numFmtId="0" fontId="10" fillId="3" borderId="0" xfId="0" applyFont="1" applyFill="1" applyBorder="1" applyAlignment="1" applyProtection="1">
      <alignment horizontal="left"/>
    </xf>
    <xf numFmtId="0" fontId="5" fillId="3" borderId="0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7" fillId="3" borderId="9" xfId="0" applyFont="1" applyFill="1" applyBorder="1" applyAlignment="1" applyProtection="1">
      <alignment horizontal="center"/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2" fontId="1" fillId="3" borderId="9" xfId="0" applyNumberFormat="1" applyFont="1" applyFill="1" applyBorder="1" applyAlignment="1" applyProtection="1">
      <alignment horizontal="center"/>
      <protection locked="0" hidden="1"/>
    </xf>
    <xf numFmtId="0" fontId="0" fillId="3" borderId="0" xfId="0" applyFill="1" applyBorder="1" applyAlignment="1" applyProtection="1">
      <alignment horizontal="center"/>
    </xf>
    <xf numFmtId="165" fontId="1" fillId="3" borderId="0" xfId="1" applyFont="1" applyFill="1" applyBorder="1" applyAlignment="1" applyProtection="1">
      <alignment horizontal="center"/>
    </xf>
    <xf numFmtId="165" fontId="0" fillId="3" borderId="0" xfId="0" applyNumberFormat="1" applyFill="1" applyBorder="1" applyAlignment="1" applyProtection="1">
      <alignment horizontal="center"/>
    </xf>
    <xf numFmtId="0" fontId="2" fillId="9" borderId="0" xfId="0" applyFont="1" applyFill="1" applyBorder="1" applyAlignment="1" applyProtection="1">
      <alignment horizontal="center"/>
    </xf>
    <xf numFmtId="166" fontId="2" fillId="9" borderId="0" xfId="0" applyNumberFormat="1" applyFont="1" applyFill="1" applyBorder="1" applyAlignment="1" applyProtection="1">
      <alignment horizontal="left"/>
    </xf>
    <xf numFmtId="0" fontId="2" fillId="3" borderId="0" xfId="0" applyFont="1" applyFill="1" applyBorder="1" applyAlignment="1" applyProtection="1">
      <alignment horizontal="right"/>
    </xf>
    <xf numFmtId="49" fontId="2" fillId="3" borderId="0" xfId="0" applyNumberFormat="1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right"/>
    </xf>
    <xf numFmtId="0" fontId="10" fillId="3" borderId="0" xfId="0" applyFont="1" applyFill="1" applyBorder="1" applyAlignment="1" applyProtection="1">
      <alignment horizontal="left"/>
    </xf>
    <xf numFmtId="166" fontId="1" fillId="3" borderId="0" xfId="0" applyNumberFormat="1" applyFont="1" applyFill="1" applyBorder="1" applyAlignment="1" applyProtection="1">
      <alignment horizontal="center"/>
    </xf>
    <xf numFmtId="14" fontId="1" fillId="0" borderId="0" xfId="0" applyNumberFormat="1" applyFont="1" applyFill="1" applyBorder="1" applyAlignment="1" applyProtection="1">
      <alignment horizontal="left"/>
    </xf>
    <xf numFmtId="9" fontId="1" fillId="3" borderId="0" xfId="4" applyFont="1" applyFill="1" applyBorder="1" applyAlignment="1" applyProtection="1">
      <alignment horizontal="center"/>
    </xf>
    <xf numFmtId="165" fontId="6" fillId="3" borderId="0" xfId="1" applyFont="1" applyFill="1" applyBorder="1" applyAlignment="1" applyProtection="1">
      <alignment horizontal="center"/>
    </xf>
    <xf numFmtId="0" fontId="34" fillId="3" borderId="0" xfId="0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25" fillId="3" borderId="0" xfId="0" applyFont="1" applyFill="1" applyBorder="1" applyAlignment="1" applyProtection="1">
      <alignment horizontal="center"/>
    </xf>
    <xf numFmtId="0" fontId="10" fillId="0" borderId="0" xfId="0" applyNumberFormat="1" applyFont="1" applyFill="1" applyBorder="1" applyAlignment="1" applyProtection="1">
      <alignment horizontal="left"/>
    </xf>
    <xf numFmtId="0" fontId="1" fillId="3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left"/>
      <protection locked="0"/>
    </xf>
    <xf numFmtId="0" fontId="20" fillId="3" borderId="0" xfId="2" applyFont="1" applyFill="1" applyBorder="1" applyAlignment="1" applyProtection="1">
      <alignment horizontal="left"/>
      <protection locked="0"/>
    </xf>
    <xf numFmtId="0" fontId="20" fillId="3" borderId="0" xfId="0" applyFont="1" applyFill="1" applyBorder="1" applyAlignment="1" applyProtection="1">
      <alignment horizontal="left"/>
      <protection locked="0"/>
    </xf>
    <xf numFmtId="167" fontId="8" fillId="2" borderId="0" xfId="0" applyNumberFormat="1" applyFont="1" applyFill="1" applyBorder="1" applyAlignment="1" applyProtection="1">
      <alignment horizontal="left"/>
      <protection locked="0"/>
    </xf>
    <xf numFmtId="0" fontId="26" fillId="3" borderId="0" xfId="0" applyFont="1" applyFill="1" applyBorder="1" applyAlignment="1" applyProtection="1">
      <alignment horizontal="left"/>
    </xf>
    <xf numFmtId="0" fontId="25" fillId="3" borderId="0" xfId="0" applyFont="1" applyFill="1" applyBorder="1" applyAlignment="1" applyProtection="1">
      <alignment horizontal="center"/>
      <protection hidden="1"/>
    </xf>
    <xf numFmtId="1" fontId="0" fillId="3" borderId="0" xfId="0" applyNumberFormat="1" applyFill="1" applyBorder="1" applyAlignment="1" applyProtection="1">
      <alignment horizontal="center"/>
    </xf>
    <xf numFmtId="167" fontId="0" fillId="3" borderId="0" xfId="0" applyNumberFormat="1" applyFill="1" applyBorder="1" applyAlignment="1" applyProtection="1">
      <alignment horizontal="center"/>
    </xf>
    <xf numFmtId="0" fontId="20" fillId="3" borderId="0" xfId="0" applyFont="1" applyFill="1" applyBorder="1" applyAlignment="1" applyProtection="1">
      <alignment horizontal="left"/>
    </xf>
    <xf numFmtId="0" fontId="10" fillId="2" borderId="0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left" vertical="top"/>
      <protection locked="0"/>
    </xf>
    <xf numFmtId="0" fontId="2" fillId="10" borderId="0" xfId="0" applyFont="1" applyFill="1" applyBorder="1" applyAlignment="1" applyProtection="1">
      <alignment horizontal="left"/>
      <protection locked="0"/>
    </xf>
    <xf numFmtId="0" fontId="19" fillId="3" borderId="0" xfId="0" applyFont="1" applyFill="1" applyBorder="1" applyAlignment="1" applyProtection="1">
      <alignment horizontal="left"/>
      <protection locked="0"/>
    </xf>
    <xf numFmtId="0" fontId="21" fillId="3" borderId="0" xfId="0" applyFont="1" applyFill="1" applyBorder="1" applyAlignment="1" applyProtection="1">
      <alignment horizontal="left"/>
      <protection locked="0"/>
    </xf>
    <xf numFmtId="0" fontId="2" fillId="2" borderId="0" xfId="0" applyFont="1" applyFill="1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/>
    </xf>
    <xf numFmtId="0" fontId="3" fillId="3" borderId="0" xfId="0" applyFont="1" applyFill="1" applyBorder="1" applyAlignment="1" applyProtection="1">
      <alignment horizontal="center"/>
    </xf>
    <xf numFmtId="0" fontId="24" fillId="3" borderId="0" xfId="0" applyFont="1" applyFill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right"/>
    </xf>
    <xf numFmtId="0" fontId="25" fillId="3" borderId="1" xfId="0" applyFont="1" applyFill="1" applyBorder="1" applyAlignment="1" applyProtection="1">
      <alignment horizontal="center"/>
    </xf>
    <xf numFmtId="0" fontId="25" fillId="3" borderId="2" xfId="0" applyFont="1" applyFill="1" applyBorder="1" applyAlignment="1" applyProtection="1">
      <alignment horizontal="center"/>
    </xf>
    <xf numFmtId="169" fontId="20" fillId="3" borderId="0" xfId="0" applyNumberFormat="1" applyFont="1" applyFill="1" applyBorder="1" applyAlignment="1" applyProtection="1"/>
    <xf numFmtId="169" fontId="20" fillId="3" borderId="0" xfId="0" applyNumberFormat="1" applyFont="1" applyFill="1" applyAlignment="1"/>
    <xf numFmtId="2" fontId="20" fillId="3" borderId="2" xfId="0" applyNumberFormat="1" applyFont="1" applyFill="1" applyBorder="1" applyAlignment="1" applyProtection="1">
      <alignment horizontal="center"/>
    </xf>
    <xf numFmtId="0" fontId="22" fillId="3" borderId="1" xfId="0" applyFont="1" applyFill="1" applyBorder="1" applyAlignment="1" applyProtection="1">
      <alignment horizontal="center"/>
    </xf>
    <xf numFmtId="0" fontId="22" fillId="3" borderId="2" xfId="0" applyFont="1" applyFill="1" applyBorder="1" applyAlignment="1" applyProtection="1">
      <alignment horizontal="center"/>
    </xf>
    <xf numFmtId="2" fontId="20" fillId="3" borderId="1" xfId="0" applyNumberFormat="1" applyFont="1" applyFill="1" applyBorder="1" applyAlignment="1" applyProtection="1">
      <alignment horizontal="center"/>
    </xf>
    <xf numFmtId="0" fontId="22" fillId="3" borderId="8" xfId="0" applyFont="1" applyFill="1" applyBorder="1" applyAlignment="1" applyProtection="1">
      <alignment horizontal="center"/>
    </xf>
    <xf numFmtId="0" fontId="20" fillId="3" borderId="0" xfId="0" applyFont="1" applyFill="1" applyBorder="1" applyAlignment="1" applyProtection="1">
      <alignment horizontal="center"/>
    </xf>
    <xf numFmtId="0" fontId="6" fillId="0" borderId="1" xfId="0" applyFont="1" applyBorder="1" applyAlignment="1" applyProtection="1">
      <alignment horizontal="left"/>
      <protection locked="0" hidden="1"/>
    </xf>
    <xf numFmtId="0" fontId="6" fillId="0" borderId="2" xfId="0" applyFont="1" applyBorder="1" applyAlignment="1" applyProtection="1">
      <alignment horizontal="left"/>
      <protection locked="0" hidden="1"/>
    </xf>
    <xf numFmtId="166" fontId="7" fillId="0" borderId="2" xfId="0" applyNumberFormat="1" applyFont="1" applyFill="1" applyBorder="1" applyAlignment="1" applyProtection="1">
      <alignment horizontal="left"/>
      <protection locked="0" hidden="1"/>
    </xf>
    <xf numFmtId="166" fontId="7" fillId="0" borderId="8" xfId="0" applyNumberFormat="1" applyFont="1" applyFill="1" applyBorder="1" applyAlignment="1" applyProtection="1">
      <alignment horizontal="left"/>
      <protection locked="0" hidden="1"/>
    </xf>
    <xf numFmtId="0" fontId="5" fillId="0" borderId="2" xfId="0" applyFont="1" applyBorder="1" applyAlignment="1" applyProtection="1">
      <alignment horizontal="center"/>
      <protection locked="0" hidden="1"/>
    </xf>
    <xf numFmtId="0" fontId="5" fillId="0" borderId="8" xfId="0" applyFont="1" applyBorder="1" applyAlignment="1" applyProtection="1">
      <alignment horizontal="center"/>
      <protection locked="0" hidden="1"/>
    </xf>
    <xf numFmtId="0" fontId="6" fillId="0" borderId="4" xfId="0" applyFont="1" applyFill="1" applyBorder="1" applyAlignment="1" applyProtection="1">
      <alignment horizontal="left"/>
      <protection locked="0" hidden="1"/>
    </xf>
    <xf numFmtId="0" fontId="6" fillId="0" borderId="0" xfId="0" applyFont="1" applyFill="1" applyBorder="1" applyAlignment="1" applyProtection="1">
      <alignment horizontal="left"/>
      <protection locked="0" hidden="1"/>
    </xf>
    <xf numFmtId="49" fontId="6" fillId="0" borderId="0" xfId="0" applyNumberFormat="1" applyFont="1" applyFill="1" applyBorder="1" applyAlignment="1" applyProtection="1">
      <alignment horizontal="left"/>
      <protection locked="0" hidden="1"/>
    </xf>
    <xf numFmtId="14" fontId="6" fillId="0" borderId="0" xfId="0" applyNumberFormat="1" applyFont="1" applyBorder="1" applyAlignment="1" applyProtection="1">
      <alignment horizontal="left"/>
      <protection locked="0" hidden="1"/>
    </xf>
    <xf numFmtId="14" fontId="6" fillId="0" borderId="3" xfId="0" applyNumberFormat="1" applyFont="1" applyBorder="1" applyAlignment="1" applyProtection="1">
      <alignment horizontal="left"/>
      <protection locked="0" hidden="1"/>
    </xf>
    <xf numFmtId="166" fontId="6" fillId="0" borderId="0" xfId="0" applyNumberFormat="1" applyFont="1" applyBorder="1" applyAlignment="1" applyProtection="1">
      <alignment horizontal="left"/>
      <protection locked="0" hidden="1"/>
    </xf>
    <xf numFmtId="166" fontId="6" fillId="0" borderId="3" xfId="0" applyNumberFormat="1" applyFont="1" applyBorder="1" applyAlignment="1" applyProtection="1">
      <alignment horizontal="left"/>
      <protection locked="0" hidden="1"/>
    </xf>
    <xf numFmtId="14" fontId="7" fillId="0" borderId="6" xfId="0" applyNumberFormat="1" applyFont="1" applyBorder="1" applyAlignment="1" applyProtection="1">
      <alignment horizontal="left"/>
      <protection locked="0" hidden="1"/>
    </xf>
    <xf numFmtId="14" fontId="7" fillId="0" borderId="7" xfId="0" applyNumberFormat="1" applyFont="1" applyBorder="1" applyAlignment="1" applyProtection="1">
      <alignment horizontal="left"/>
      <protection locked="0" hidden="1"/>
    </xf>
    <xf numFmtId="166" fontId="6" fillId="0" borderId="6" xfId="0" applyNumberFormat="1" applyFont="1" applyBorder="1" applyAlignment="1" applyProtection="1">
      <alignment horizontal="left"/>
      <protection locked="0" hidden="1"/>
    </xf>
    <xf numFmtId="166" fontId="6" fillId="0" borderId="7" xfId="0" applyNumberFormat="1" applyFont="1" applyBorder="1" applyAlignment="1" applyProtection="1">
      <alignment horizontal="left"/>
      <protection locked="0" hidden="1"/>
    </xf>
    <xf numFmtId="0" fontId="1" fillId="0" borderId="0" xfId="0" applyFont="1" applyBorder="1" applyAlignment="1" applyProtection="1">
      <alignment horizontal="left"/>
      <protection locked="0" hidden="1"/>
    </xf>
    <xf numFmtId="0" fontId="5" fillId="0" borderId="4" xfId="0" applyFont="1" applyBorder="1" applyAlignment="1" applyProtection="1">
      <alignment horizontal="left"/>
      <protection locked="0" hidden="1"/>
    </xf>
    <xf numFmtId="0" fontId="5" fillId="0" borderId="0" xfId="0" applyFont="1" applyBorder="1" applyAlignment="1" applyProtection="1">
      <alignment horizontal="left"/>
      <protection locked="0" hidden="1"/>
    </xf>
    <xf numFmtId="0" fontId="8" fillId="0" borderId="0" xfId="0" applyFont="1" applyFill="1" applyBorder="1" applyAlignment="1" applyProtection="1">
      <alignment horizontal="center"/>
      <protection locked="0" hidden="1"/>
    </xf>
    <xf numFmtId="0" fontId="8" fillId="2" borderId="0" xfId="0" applyFont="1" applyFill="1" applyBorder="1" applyAlignment="1" applyProtection="1">
      <alignment horizontal="right"/>
      <protection locked="0" hidden="1"/>
    </xf>
    <xf numFmtId="0" fontId="8" fillId="0" borderId="0" xfId="0" applyFont="1" applyFill="1" applyBorder="1" applyAlignment="1" applyProtection="1">
      <alignment horizontal="left"/>
      <protection locked="0" hidden="1"/>
    </xf>
    <xf numFmtId="0" fontId="10" fillId="0" borderId="0" xfId="0" applyNumberFormat="1" applyFont="1" applyBorder="1" applyAlignment="1" applyProtection="1">
      <alignment horizontal="left"/>
      <protection locked="0" hidden="1"/>
    </xf>
    <xf numFmtId="0" fontId="10" fillId="0" borderId="0" xfId="0" applyFont="1" applyBorder="1" applyAlignment="1" applyProtection="1">
      <alignment horizontal="left"/>
      <protection locked="0" hidden="1"/>
    </xf>
    <xf numFmtId="0" fontId="10" fillId="0" borderId="4" xfId="0" applyFont="1" applyBorder="1" applyAlignment="1" applyProtection="1">
      <alignment horizontal="left"/>
      <protection locked="0" hidden="1"/>
    </xf>
    <xf numFmtId="0" fontId="2" fillId="0" borderId="0" xfId="0" applyFont="1" applyBorder="1" applyAlignment="1" applyProtection="1">
      <alignment horizontal="center"/>
      <protection locked="0" hidden="1"/>
    </xf>
    <xf numFmtId="167" fontId="2" fillId="2" borderId="0" xfId="0" applyNumberFormat="1" applyFont="1" applyFill="1" applyBorder="1" applyAlignment="1" applyProtection="1">
      <alignment horizontal="left"/>
      <protection locked="0" hidden="1"/>
    </xf>
    <xf numFmtId="0" fontId="1" fillId="0" borderId="0" xfId="0" applyFont="1" applyBorder="1" applyAlignment="1" applyProtection="1">
      <alignment horizontal="center"/>
      <protection locked="0" hidden="1"/>
    </xf>
    <xf numFmtId="0" fontId="8" fillId="0" borderId="4" xfId="0" applyFont="1" applyBorder="1" applyAlignment="1" applyProtection="1">
      <alignment horizontal="left"/>
      <protection locked="0" hidden="1"/>
    </xf>
    <xf numFmtId="0" fontId="8" fillId="0" borderId="0" xfId="0" applyFont="1" applyBorder="1" applyAlignment="1" applyProtection="1">
      <alignment horizontal="left"/>
      <protection locked="0" hidden="1"/>
    </xf>
    <xf numFmtId="0" fontId="8" fillId="0" borderId="0" xfId="0" applyFont="1" applyBorder="1" applyAlignment="1" applyProtection="1">
      <alignment horizontal="center"/>
      <protection locked="0" hidden="1"/>
    </xf>
    <xf numFmtId="1" fontId="8" fillId="0" borderId="0" xfId="0" applyNumberFormat="1" applyFont="1" applyBorder="1" applyAlignment="1" applyProtection="1">
      <alignment horizontal="center"/>
      <protection locked="0" hidden="1"/>
    </xf>
    <xf numFmtId="2" fontId="1" fillId="0" borderId="0" xfId="0" applyNumberFormat="1" applyFont="1" applyBorder="1" applyAlignment="1" applyProtection="1">
      <alignment horizontal="center"/>
      <protection locked="0" hidden="1"/>
    </xf>
    <xf numFmtId="2" fontId="6" fillId="0" borderId="0" xfId="0" applyNumberFormat="1" applyFont="1" applyBorder="1" applyAlignment="1" applyProtection="1">
      <alignment horizontal="center"/>
      <protection locked="0" hidden="1"/>
    </xf>
    <xf numFmtId="167" fontId="18" fillId="0" borderId="0" xfId="0" applyNumberFormat="1" applyFont="1" applyBorder="1" applyAlignment="1" applyProtection="1">
      <alignment horizontal="center"/>
      <protection locked="0" hidden="1"/>
    </xf>
    <xf numFmtId="2" fontId="7" fillId="0" borderId="0" xfId="0" applyNumberFormat="1" applyFont="1" applyBorder="1" applyAlignment="1" applyProtection="1">
      <alignment horizontal="center"/>
      <protection locked="0" hidden="1"/>
    </xf>
    <xf numFmtId="0" fontId="1" fillId="0" borderId="0" xfId="0" applyFont="1" applyFill="1" applyBorder="1" applyAlignment="1" applyProtection="1">
      <alignment horizontal="center"/>
      <protection locked="0" hidden="1"/>
    </xf>
    <xf numFmtId="167" fontId="2" fillId="0" borderId="0" xfId="0" applyNumberFormat="1" applyFont="1" applyFill="1" applyBorder="1" applyAlignment="1" applyProtection="1">
      <alignment horizontal="left"/>
      <protection locked="0" hidden="1"/>
    </xf>
    <xf numFmtId="0" fontId="1" fillId="0" borderId="6" xfId="0" applyFont="1" applyBorder="1" applyAlignment="1" applyProtection="1">
      <alignment horizontal="center"/>
      <protection locked="0" hidden="1"/>
    </xf>
    <xf numFmtId="0" fontId="44" fillId="0" borderId="0" xfId="0" applyFont="1" applyBorder="1" applyAlignment="1" applyProtection="1">
      <alignment horizontal="center"/>
      <protection locked="0" hidden="1"/>
    </xf>
    <xf numFmtId="0" fontId="1" fillId="0" borderId="0" xfId="0" applyFont="1" applyBorder="1" applyProtection="1">
      <protection locked="0" hidden="1"/>
    </xf>
    <xf numFmtId="0" fontId="1" fillId="0" borderId="6" xfId="0" applyFont="1" applyFill="1" applyBorder="1" applyAlignment="1" applyProtection="1">
      <alignment horizontal="center"/>
      <protection locked="0" hidden="1"/>
    </xf>
    <xf numFmtId="0" fontId="36" fillId="3" borderId="0" xfId="0" applyFont="1" applyFill="1" applyAlignment="1" applyProtection="1">
      <alignment horizontal="center"/>
      <protection locked="0" hidden="1"/>
    </xf>
    <xf numFmtId="0" fontId="5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8" fillId="4" borderId="9" xfId="3" applyFont="1" applyFill="1" applyBorder="1" applyAlignment="1">
      <alignment horizontal="center" vertical="center"/>
    </xf>
    <xf numFmtId="0" fontId="18" fillId="0" borderId="1" xfId="3" applyFont="1" applyFill="1" applyBorder="1" applyAlignment="1">
      <alignment horizontal="center" vertical="center"/>
    </xf>
    <xf numFmtId="0" fontId="18" fillId="0" borderId="2" xfId="3" applyFont="1" applyFill="1" applyBorder="1" applyAlignment="1">
      <alignment horizontal="center" vertical="center"/>
    </xf>
    <xf numFmtId="0" fontId="18" fillId="5" borderId="10" xfId="3" applyFont="1" applyFill="1" applyBorder="1" applyAlignment="1">
      <alignment horizontal="center" vertical="center"/>
    </xf>
    <xf numFmtId="0" fontId="18" fillId="5" borderId="11" xfId="3" applyFont="1" applyFill="1" applyBorder="1" applyAlignment="1">
      <alignment horizontal="center" vertical="center"/>
    </xf>
    <xf numFmtId="0" fontId="18" fillId="5" borderId="13" xfId="3" applyFont="1" applyFill="1" applyBorder="1" applyAlignment="1">
      <alignment horizontal="center" vertical="center"/>
    </xf>
    <xf numFmtId="0" fontId="18" fillId="5" borderId="14" xfId="3" applyFont="1" applyFill="1" applyBorder="1" applyAlignment="1">
      <alignment horizontal="center" vertical="center"/>
    </xf>
    <xf numFmtId="0" fontId="18" fillId="5" borderId="15" xfId="3" applyFont="1" applyFill="1" applyBorder="1" applyAlignment="1">
      <alignment horizontal="center" vertical="center"/>
    </xf>
    <xf numFmtId="0" fontId="18" fillId="5" borderId="16" xfId="3" applyFont="1" applyFill="1" applyBorder="1" applyAlignment="1">
      <alignment horizontal="center" vertical="center"/>
    </xf>
    <xf numFmtId="0" fontId="10" fillId="0" borderId="10" xfId="3" applyFont="1" applyBorder="1" applyAlignment="1">
      <alignment horizontal="center" vertical="center"/>
    </xf>
    <xf numFmtId="0" fontId="10" fillId="0" borderId="11" xfId="3" applyFont="1" applyBorder="1" applyAlignment="1">
      <alignment horizontal="center" vertical="center"/>
    </xf>
    <xf numFmtId="0" fontId="10" fillId="0" borderId="17" xfId="3" applyFont="1" applyFill="1" applyBorder="1" applyAlignment="1">
      <alignment horizontal="center" vertical="center"/>
    </xf>
    <xf numFmtId="0" fontId="10" fillId="0" borderId="18" xfId="3" applyFont="1" applyBorder="1" applyAlignment="1">
      <alignment horizontal="center" vertical="center"/>
    </xf>
    <xf numFmtId="0" fontId="10" fillId="0" borderId="19" xfId="3" applyFont="1" applyBorder="1" applyAlignment="1">
      <alignment horizontal="center" vertical="center"/>
    </xf>
    <xf numFmtId="0" fontId="10" fillId="0" borderId="18" xfId="3" applyFont="1" applyFill="1" applyBorder="1" applyAlignment="1">
      <alignment horizontal="center" vertical="center"/>
    </xf>
    <xf numFmtId="0" fontId="10" fillId="0" borderId="19" xfId="3" applyFont="1" applyFill="1" applyBorder="1" applyAlignment="1">
      <alignment horizontal="center" vertical="center"/>
    </xf>
    <xf numFmtId="0" fontId="1" fillId="3" borderId="10" xfId="0" applyFont="1" applyFill="1" applyBorder="1" applyAlignment="1" applyProtection="1">
      <alignment horizontal="center"/>
      <protection locked="0" hidden="1"/>
    </xf>
    <xf numFmtId="0" fontId="1" fillId="3" borderId="11" xfId="0" applyFont="1" applyFill="1" applyBorder="1" applyAlignment="1" applyProtection="1">
      <alignment horizontal="center"/>
      <protection locked="0" hidden="1"/>
    </xf>
    <xf numFmtId="0" fontId="7" fillId="3" borderId="10" xfId="0" applyFont="1" applyFill="1" applyBorder="1" applyAlignment="1" applyProtection="1">
      <alignment horizontal="center"/>
      <protection locked="0" hidden="1"/>
    </xf>
    <xf numFmtId="0" fontId="7" fillId="3" borderId="11" xfId="0" applyFont="1" applyFill="1" applyBorder="1" applyAlignment="1" applyProtection="1">
      <alignment horizontal="center"/>
      <protection locked="0" hidden="1"/>
    </xf>
    <xf numFmtId="167" fontId="1" fillId="3" borderId="10" xfId="0" applyNumberFormat="1" applyFont="1" applyFill="1" applyBorder="1" applyAlignment="1" applyProtection="1">
      <alignment horizontal="center"/>
      <protection locked="0" hidden="1"/>
    </xf>
    <xf numFmtId="0" fontId="1" fillId="3" borderId="0" xfId="0" applyFont="1" applyFill="1" applyAlignment="1" applyProtection="1">
      <alignment horizontal="center"/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1" fontId="1" fillId="3" borderId="9" xfId="0" applyNumberFormat="1" applyFont="1" applyFill="1" applyBorder="1" applyAlignment="1" applyProtection="1">
      <alignment horizontal="center"/>
      <protection locked="0" hidden="1"/>
    </xf>
    <xf numFmtId="0" fontId="7" fillId="3" borderId="9" xfId="0" applyFont="1" applyFill="1" applyBorder="1" applyAlignment="1" applyProtection="1">
      <alignment horizontal="center"/>
      <protection locked="0" hidden="1"/>
    </xf>
    <xf numFmtId="0" fontId="1" fillId="3" borderId="0" xfId="0" applyFont="1" applyFill="1" applyBorder="1" applyAlignment="1" applyProtection="1">
      <alignment horizontal="center"/>
      <protection locked="0" hidden="1"/>
    </xf>
    <xf numFmtId="167" fontId="1" fillId="3" borderId="9" xfId="0" applyNumberFormat="1" applyFont="1" applyFill="1" applyBorder="1" applyAlignment="1" applyProtection="1">
      <alignment horizontal="center"/>
      <protection locked="0" hidden="1"/>
    </xf>
    <xf numFmtId="167" fontId="10" fillId="3" borderId="0" xfId="0" applyNumberFormat="1" applyFont="1" applyFill="1" applyAlignment="1" applyProtection="1">
      <alignment horizontal="center"/>
      <protection locked="0" hidden="1"/>
    </xf>
    <xf numFmtId="0" fontId="10" fillId="3" borderId="0" xfId="0" applyFont="1" applyFill="1" applyAlignment="1" applyProtection="1">
      <alignment horizontal="center"/>
      <protection locked="0" hidden="1"/>
    </xf>
  </cellXfs>
  <cellStyles count="5">
    <cellStyle name="Currency" xfId="1" builtinId="4"/>
    <cellStyle name="Hyperlink" xfId="2" builtinId="8"/>
    <cellStyle name="Normal" xfId="0" builtinId="0"/>
    <cellStyle name="Normal 2" xfId="3" xr:uid="{00000000-0005-0000-0000-000003000000}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</xdr:colOff>
      <xdr:row>4</xdr:row>
      <xdr:rowOff>38100</xdr:rowOff>
    </xdr:from>
    <xdr:to>
      <xdr:col>25</xdr:col>
      <xdr:colOff>76200</xdr:colOff>
      <xdr:row>7</xdr:row>
      <xdr:rowOff>123825</xdr:rowOff>
    </xdr:to>
    <xdr:grpSp>
      <xdr:nvGrpSpPr>
        <xdr:cNvPr id="21385" name="Group 1">
          <a:extLst>
            <a:ext uri="{FF2B5EF4-FFF2-40B4-BE49-F238E27FC236}">
              <a16:creationId xmlns:a16="http://schemas.microsoft.com/office/drawing/2014/main" id="{00000000-0008-0000-0000-000089530000}"/>
            </a:ext>
          </a:extLst>
        </xdr:cNvPr>
        <xdr:cNvGrpSpPr>
          <a:grpSpLocks/>
        </xdr:cNvGrpSpPr>
      </xdr:nvGrpSpPr>
      <xdr:grpSpPr bwMode="auto">
        <a:xfrm>
          <a:off x="4200525" y="853440"/>
          <a:ext cx="2642235" cy="641985"/>
          <a:chOff x="519" y="60"/>
          <a:chExt cx="282" cy="106"/>
        </a:xfrm>
      </xdr:grpSpPr>
      <xdr:sp macro="" textlink="">
        <xdr:nvSpPr>
          <xdr:cNvPr id="21404" name="Line 2">
            <a:extLst>
              <a:ext uri="{FF2B5EF4-FFF2-40B4-BE49-F238E27FC236}">
                <a16:creationId xmlns:a16="http://schemas.microsoft.com/office/drawing/2014/main" id="{00000000-0008-0000-0000-00009C53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0" y="95"/>
            <a:ext cx="0" cy="6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5" name="Line 3">
            <a:extLst>
              <a:ext uri="{FF2B5EF4-FFF2-40B4-BE49-F238E27FC236}">
                <a16:creationId xmlns:a16="http://schemas.microsoft.com/office/drawing/2014/main" id="{00000000-0008-0000-0000-00009D530000}"/>
              </a:ext>
            </a:extLst>
          </xdr:cNvPr>
          <xdr:cNvSpPr>
            <a:spLocks noChangeShapeType="1"/>
          </xdr:cNvSpPr>
        </xdr:nvSpPr>
        <xdr:spPr bwMode="auto">
          <a:xfrm>
            <a:off x="519" y="164"/>
            <a:ext cx="33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6" name="Line 4">
            <a:extLst>
              <a:ext uri="{FF2B5EF4-FFF2-40B4-BE49-F238E27FC236}">
                <a16:creationId xmlns:a16="http://schemas.microsoft.com/office/drawing/2014/main" id="{00000000-0008-0000-0000-00009E530000}"/>
              </a:ext>
            </a:extLst>
          </xdr:cNvPr>
          <xdr:cNvSpPr>
            <a:spLocks noChangeShapeType="1"/>
          </xdr:cNvSpPr>
        </xdr:nvSpPr>
        <xdr:spPr bwMode="auto">
          <a:xfrm>
            <a:off x="519" y="96"/>
            <a:ext cx="7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7" name="Line 5">
            <a:extLst>
              <a:ext uri="{FF2B5EF4-FFF2-40B4-BE49-F238E27FC236}">
                <a16:creationId xmlns:a16="http://schemas.microsoft.com/office/drawing/2014/main" id="{00000000-0008-0000-0000-00009F53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92" y="60"/>
            <a:ext cx="0" cy="35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08" name="Line 6">
            <a:extLst>
              <a:ext uri="{FF2B5EF4-FFF2-40B4-BE49-F238E27FC236}">
                <a16:creationId xmlns:a16="http://schemas.microsoft.com/office/drawing/2014/main" id="{00000000-0008-0000-0000-0000A0530000}"/>
              </a:ext>
            </a:extLst>
          </xdr:cNvPr>
          <xdr:cNvSpPr>
            <a:spLocks noChangeShapeType="1"/>
          </xdr:cNvSpPr>
        </xdr:nvSpPr>
        <xdr:spPr bwMode="auto">
          <a:xfrm>
            <a:off x="591" y="60"/>
            <a:ext cx="207" cy="2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11" name="Line 9">
            <a:extLst>
              <a:ext uri="{FF2B5EF4-FFF2-40B4-BE49-F238E27FC236}">
                <a16:creationId xmlns:a16="http://schemas.microsoft.com/office/drawing/2014/main" id="{00000000-0008-0000-0000-0000A3530000}"/>
              </a:ext>
            </a:extLst>
          </xdr:cNvPr>
          <xdr:cNvSpPr>
            <a:spLocks noChangeShapeType="1"/>
          </xdr:cNvSpPr>
        </xdr:nvSpPr>
        <xdr:spPr bwMode="auto">
          <a:xfrm>
            <a:off x="800" y="63"/>
            <a:ext cx="0" cy="103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1412" name="Line 10">
            <a:extLst>
              <a:ext uri="{FF2B5EF4-FFF2-40B4-BE49-F238E27FC236}">
                <a16:creationId xmlns:a16="http://schemas.microsoft.com/office/drawing/2014/main" id="{00000000-0008-0000-0000-0000A453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4" y="166"/>
            <a:ext cx="37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16</xdr:col>
      <xdr:colOff>47625</xdr:colOff>
      <xdr:row>8</xdr:row>
      <xdr:rowOff>104775</xdr:rowOff>
    </xdr:from>
    <xdr:to>
      <xdr:col>16</xdr:col>
      <xdr:colOff>47625</xdr:colOff>
      <xdr:row>9</xdr:row>
      <xdr:rowOff>104775</xdr:rowOff>
    </xdr:to>
    <xdr:sp macro="" textlink="">
      <xdr:nvSpPr>
        <xdr:cNvPr id="21386" name="Line 11">
          <a:extLst>
            <a:ext uri="{FF2B5EF4-FFF2-40B4-BE49-F238E27FC236}">
              <a16:creationId xmlns:a16="http://schemas.microsoft.com/office/drawing/2014/main" id="{00000000-0008-0000-0000-00008A530000}"/>
            </a:ext>
          </a:extLst>
        </xdr:cNvPr>
        <xdr:cNvSpPr>
          <a:spLocks noChangeShapeType="1"/>
        </xdr:cNvSpPr>
      </xdr:nvSpPr>
      <xdr:spPr bwMode="auto">
        <a:xfrm>
          <a:off x="4438650" y="1657350"/>
          <a:ext cx="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38100</xdr:colOff>
      <xdr:row>8</xdr:row>
      <xdr:rowOff>104775</xdr:rowOff>
    </xdr:from>
    <xdr:to>
      <xdr:col>15</xdr:col>
      <xdr:colOff>47625</xdr:colOff>
      <xdr:row>9</xdr:row>
      <xdr:rowOff>95250</xdr:rowOff>
    </xdr:to>
    <xdr:sp macro="" textlink="">
      <xdr:nvSpPr>
        <xdr:cNvPr id="21387" name="Line 12">
          <a:extLst>
            <a:ext uri="{FF2B5EF4-FFF2-40B4-BE49-F238E27FC236}">
              <a16:creationId xmlns:a16="http://schemas.microsoft.com/office/drawing/2014/main" id="{00000000-0008-0000-0000-00008B530000}"/>
            </a:ext>
          </a:extLst>
        </xdr:cNvPr>
        <xdr:cNvSpPr>
          <a:spLocks noChangeShapeType="1"/>
        </xdr:cNvSpPr>
      </xdr:nvSpPr>
      <xdr:spPr bwMode="auto">
        <a:xfrm>
          <a:off x="4124325" y="1657350"/>
          <a:ext cx="952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209550</xdr:colOff>
      <xdr:row>8</xdr:row>
      <xdr:rowOff>85725</xdr:rowOff>
    </xdr:from>
    <xdr:to>
      <xdr:col>23</xdr:col>
      <xdr:colOff>219075</xdr:colOff>
      <xdr:row>9</xdr:row>
      <xdr:rowOff>76200</xdr:rowOff>
    </xdr:to>
    <xdr:sp macro="" textlink="">
      <xdr:nvSpPr>
        <xdr:cNvPr id="21388" name="Line 13">
          <a:extLst>
            <a:ext uri="{FF2B5EF4-FFF2-40B4-BE49-F238E27FC236}">
              <a16:creationId xmlns:a16="http://schemas.microsoft.com/office/drawing/2014/main" id="{00000000-0008-0000-0000-00008C530000}"/>
            </a:ext>
          </a:extLst>
        </xdr:cNvPr>
        <xdr:cNvSpPr>
          <a:spLocks noChangeShapeType="1"/>
        </xdr:cNvSpPr>
      </xdr:nvSpPr>
      <xdr:spPr bwMode="auto">
        <a:xfrm>
          <a:off x="6334125" y="1638300"/>
          <a:ext cx="952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28575</xdr:colOff>
      <xdr:row>8</xdr:row>
      <xdr:rowOff>66675</xdr:rowOff>
    </xdr:from>
    <xdr:to>
      <xdr:col>25</xdr:col>
      <xdr:colOff>28575</xdr:colOff>
      <xdr:row>9</xdr:row>
      <xdr:rowOff>95250</xdr:rowOff>
    </xdr:to>
    <xdr:sp macro="" textlink="">
      <xdr:nvSpPr>
        <xdr:cNvPr id="21389" name="Line 14">
          <a:extLst>
            <a:ext uri="{FF2B5EF4-FFF2-40B4-BE49-F238E27FC236}">
              <a16:creationId xmlns:a16="http://schemas.microsoft.com/office/drawing/2014/main" id="{00000000-0008-0000-0000-00008D530000}"/>
            </a:ext>
          </a:extLst>
        </xdr:cNvPr>
        <xdr:cNvSpPr>
          <a:spLocks noChangeShapeType="1"/>
        </xdr:cNvSpPr>
      </xdr:nvSpPr>
      <xdr:spPr bwMode="auto">
        <a:xfrm>
          <a:off x="6648450" y="1619250"/>
          <a:ext cx="0" cy="219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161925</xdr:colOff>
      <xdr:row>9</xdr:row>
      <xdr:rowOff>19050</xdr:rowOff>
    </xdr:from>
    <xdr:to>
      <xdr:col>25</xdr:col>
      <xdr:colOff>95250</xdr:colOff>
      <xdr:row>9</xdr:row>
      <xdr:rowOff>19050</xdr:rowOff>
    </xdr:to>
    <xdr:sp macro="" textlink="">
      <xdr:nvSpPr>
        <xdr:cNvPr id="21390" name="Line 15">
          <a:extLst>
            <a:ext uri="{FF2B5EF4-FFF2-40B4-BE49-F238E27FC236}">
              <a16:creationId xmlns:a16="http://schemas.microsoft.com/office/drawing/2014/main" id="{00000000-0008-0000-0000-00008E530000}"/>
            </a:ext>
          </a:extLst>
        </xdr:cNvPr>
        <xdr:cNvSpPr>
          <a:spLocks noChangeShapeType="1"/>
        </xdr:cNvSpPr>
      </xdr:nvSpPr>
      <xdr:spPr bwMode="auto">
        <a:xfrm>
          <a:off x="4076700" y="1762125"/>
          <a:ext cx="2638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</xdr:colOff>
      <xdr:row>8</xdr:row>
      <xdr:rowOff>28575</xdr:rowOff>
    </xdr:from>
    <xdr:to>
      <xdr:col>14</xdr:col>
      <xdr:colOff>161925</xdr:colOff>
      <xdr:row>8</xdr:row>
      <xdr:rowOff>28575</xdr:rowOff>
    </xdr:to>
    <xdr:sp macro="" textlink="">
      <xdr:nvSpPr>
        <xdr:cNvPr id="21391" name="Line 16">
          <a:extLst>
            <a:ext uri="{FF2B5EF4-FFF2-40B4-BE49-F238E27FC236}">
              <a16:creationId xmlns:a16="http://schemas.microsoft.com/office/drawing/2014/main" id="{00000000-0008-0000-0000-00008F530000}"/>
            </a:ext>
          </a:extLst>
        </xdr:cNvPr>
        <xdr:cNvSpPr>
          <a:spLocks noChangeShapeType="1"/>
        </xdr:cNvSpPr>
      </xdr:nvSpPr>
      <xdr:spPr bwMode="auto">
        <a:xfrm flipH="1">
          <a:off x="3924300" y="1581150"/>
          <a:ext cx="152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</xdr:colOff>
      <xdr:row>5</xdr:row>
      <xdr:rowOff>85725</xdr:rowOff>
    </xdr:from>
    <xdr:to>
      <xdr:col>14</xdr:col>
      <xdr:colOff>152400</xdr:colOff>
      <xdr:row>5</xdr:row>
      <xdr:rowOff>85725</xdr:rowOff>
    </xdr:to>
    <xdr:sp macro="" textlink="">
      <xdr:nvSpPr>
        <xdr:cNvPr id="21392" name="Line 17">
          <a:extLst>
            <a:ext uri="{FF2B5EF4-FFF2-40B4-BE49-F238E27FC236}">
              <a16:creationId xmlns:a16="http://schemas.microsoft.com/office/drawing/2014/main" id="{00000000-0008-0000-0000-000090530000}"/>
            </a:ext>
          </a:extLst>
        </xdr:cNvPr>
        <xdr:cNvSpPr>
          <a:spLocks noChangeShapeType="1"/>
        </xdr:cNvSpPr>
      </xdr:nvSpPr>
      <xdr:spPr bwMode="auto">
        <a:xfrm flipH="1">
          <a:off x="3924300" y="1104900"/>
          <a:ext cx="142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219075</xdr:colOff>
      <xdr:row>3</xdr:row>
      <xdr:rowOff>219075</xdr:rowOff>
    </xdr:from>
    <xdr:to>
      <xdr:col>14</xdr:col>
      <xdr:colOff>142875</xdr:colOff>
      <xdr:row>3</xdr:row>
      <xdr:rowOff>219075</xdr:rowOff>
    </xdr:to>
    <xdr:sp macro="" textlink="">
      <xdr:nvSpPr>
        <xdr:cNvPr id="21393" name="Line 18">
          <a:extLst>
            <a:ext uri="{FF2B5EF4-FFF2-40B4-BE49-F238E27FC236}">
              <a16:creationId xmlns:a16="http://schemas.microsoft.com/office/drawing/2014/main" id="{00000000-0008-0000-0000-000091530000}"/>
            </a:ext>
          </a:extLst>
        </xdr:cNvPr>
        <xdr:cNvSpPr>
          <a:spLocks noChangeShapeType="1"/>
        </xdr:cNvSpPr>
      </xdr:nvSpPr>
      <xdr:spPr bwMode="auto">
        <a:xfrm flipH="1">
          <a:off x="3895725" y="81915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57150</xdr:colOff>
      <xdr:row>3</xdr:row>
      <xdr:rowOff>190500</xdr:rowOff>
    </xdr:from>
    <xdr:to>
      <xdr:col>14</xdr:col>
      <xdr:colOff>57150</xdr:colOff>
      <xdr:row>8</xdr:row>
      <xdr:rowOff>85725</xdr:rowOff>
    </xdr:to>
    <xdr:sp macro="" textlink="">
      <xdr:nvSpPr>
        <xdr:cNvPr id="21394" name="Line 19">
          <a:extLst>
            <a:ext uri="{FF2B5EF4-FFF2-40B4-BE49-F238E27FC236}">
              <a16:creationId xmlns:a16="http://schemas.microsoft.com/office/drawing/2014/main" id="{00000000-0008-0000-0000-000092530000}"/>
            </a:ext>
          </a:extLst>
        </xdr:cNvPr>
        <xdr:cNvSpPr>
          <a:spLocks noChangeShapeType="1"/>
        </xdr:cNvSpPr>
      </xdr:nvSpPr>
      <xdr:spPr bwMode="auto">
        <a:xfrm>
          <a:off x="3971925" y="790575"/>
          <a:ext cx="0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38100</xdr:colOff>
      <xdr:row>2</xdr:row>
      <xdr:rowOff>190500</xdr:rowOff>
    </xdr:from>
    <xdr:to>
      <xdr:col>15</xdr:col>
      <xdr:colOff>38100</xdr:colOff>
      <xdr:row>3</xdr:row>
      <xdr:rowOff>123825</xdr:rowOff>
    </xdr:to>
    <xdr:sp macro="" textlink="">
      <xdr:nvSpPr>
        <xdr:cNvPr id="21395" name="Line 20">
          <a:extLst>
            <a:ext uri="{FF2B5EF4-FFF2-40B4-BE49-F238E27FC236}">
              <a16:creationId xmlns:a16="http://schemas.microsoft.com/office/drawing/2014/main" id="{00000000-0008-0000-0000-000093530000}"/>
            </a:ext>
          </a:extLst>
        </xdr:cNvPr>
        <xdr:cNvSpPr>
          <a:spLocks noChangeShapeType="1"/>
        </xdr:cNvSpPr>
      </xdr:nvSpPr>
      <xdr:spPr bwMode="auto">
        <a:xfrm flipV="1">
          <a:off x="4124325" y="561975"/>
          <a:ext cx="0" cy="161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142875</xdr:colOff>
      <xdr:row>2</xdr:row>
      <xdr:rowOff>219075</xdr:rowOff>
    </xdr:from>
    <xdr:to>
      <xdr:col>17</xdr:col>
      <xdr:colOff>142875</xdr:colOff>
      <xdr:row>3</xdr:row>
      <xdr:rowOff>142875</xdr:rowOff>
    </xdr:to>
    <xdr:sp macro="" textlink="">
      <xdr:nvSpPr>
        <xdr:cNvPr id="21396" name="Line 21">
          <a:extLst>
            <a:ext uri="{FF2B5EF4-FFF2-40B4-BE49-F238E27FC236}">
              <a16:creationId xmlns:a16="http://schemas.microsoft.com/office/drawing/2014/main" id="{00000000-0008-0000-0000-000094530000}"/>
            </a:ext>
          </a:extLst>
        </xdr:cNvPr>
        <xdr:cNvSpPr>
          <a:spLocks noChangeShapeType="1"/>
        </xdr:cNvSpPr>
      </xdr:nvSpPr>
      <xdr:spPr bwMode="auto">
        <a:xfrm flipV="1">
          <a:off x="4781550" y="59055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19050</xdr:colOff>
      <xdr:row>2</xdr:row>
      <xdr:rowOff>209550</xdr:rowOff>
    </xdr:from>
    <xdr:to>
      <xdr:col>25</xdr:col>
      <xdr:colOff>19050</xdr:colOff>
      <xdr:row>3</xdr:row>
      <xdr:rowOff>133350</xdr:rowOff>
    </xdr:to>
    <xdr:sp macro="" textlink="">
      <xdr:nvSpPr>
        <xdr:cNvPr id="21398" name="Line 23">
          <a:extLst>
            <a:ext uri="{FF2B5EF4-FFF2-40B4-BE49-F238E27FC236}">
              <a16:creationId xmlns:a16="http://schemas.microsoft.com/office/drawing/2014/main" id="{00000000-0008-0000-0000-000096530000}"/>
            </a:ext>
          </a:extLst>
        </xdr:cNvPr>
        <xdr:cNvSpPr>
          <a:spLocks noChangeShapeType="1"/>
        </xdr:cNvSpPr>
      </xdr:nvSpPr>
      <xdr:spPr bwMode="auto">
        <a:xfrm flipV="1">
          <a:off x="6638925" y="5810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171450</xdr:colOff>
      <xdr:row>3</xdr:row>
      <xdr:rowOff>76200</xdr:rowOff>
    </xdr:from>
    <xdr:to>
      <xdr:col>25</xdr:col>
      <xdr:colOff>95250</xdr:colOff>
      <xdr:row>3</xdr:row>
      <xdr:rowOff>76200</xdr:rowOff>
    </xdr:to>
    <xdr:sp macro="" textlink="">
      <xdr:nvSpPr>
        <xdr:cNvPr id="21399" name="Line 24">
          <a:extLst>
            <a:ext uri="{FF2B5EF4-FFF2-40B4-BE49-F238E27FC236}">
              <a16:creationId xmlns:a16="http://schemas.microsoft.com/office/drawing/2014/main" id="{00000000-0008-0000-0000-000097530000}"/>
            </a:ext>
          </a:extLst>
        </xdr:cNvPr>
        <xdr:cNvSpPr>
          <a:spLocks noChangeShapeType="1"/>
        </xdr:cNvSpPr>
      </xdr:nvSpPr>
      <xdr:spPr bwMode="auto">
        <a:xfrm>
          <a:off x="4086225" y="676275"/>
          <a:ext cx="2628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95250</xdr:colOff>
      <xdr:row>4</xdr:row>
      <xdr:rowOff>0</xdr:rowOff>
    </xdr:from>
    <xdr:to>
      <xdr:col>26</xdr:col>
      <xdr:colOff>66675</xdr:colOff>
      <xdr:row>4</xdr:row>
      <xdr:rowOff>0</xdr:rowOff>
    </xdr:to>
    <xdr:sp macro="" textlink="">
      <xdr:nvSpPr>
        <xdr:cNvPr id="21400" name="Line 25">
          <a:extLst>
            <a:ext uri="{FF2B5EF4-FFF2-40B4-BE49-F238E27FC236}">
              <a16:creationId xmlns:a16="http://schemas.microsoft.com/office/drawing/2014/main" id="{00000000-0008-0000-0000-000098530000}"/>
            </a:ext>
          </a:extLst>
        </xdr:cNvPr>
        <xdr:cNvSpPr>
          <a:spLocks noChangeShapeType="1"/>
        </xdr:cNvSpPr>
      </xdr:nvSpPr>
      <xdr:spPr bwMode="auto">
        <a:xfrm>
          <a:off x="6715125" y="828675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85725</xdr:colOff>
      <xdr:row>8</xdr:row>
      <xdr:rowOff>9525</xdr:rowOff>
    </xdr:from>
    <xdr:to>
      <xdr:col>26</xdr:col>
      <xdr:colOff>104775</xdr:colOff>
      <xdr:row>8</xdr:row>
      <xdr:rowOff>9525</xdr:rowOff>
    </xdr:to>
    <xdr:sp macro="" textlink="">
      <xdr:nvSpPr>
        <xdr:cNvPr id="21402" name="Line 27">
          <a:extLst>
            <a:ext uri="{FF2B5EF4-FFF2-40B4-BE49-F238E27FC236}">
              <a16:creationId xmlns:a16="http://schemas.microsoft.com/office/drawing/2014/main" id="{00000000-0008-0000-0000-00009A530000}"/>
            </a:ext>
          </a:extLst>
        </xdr:cNvPr>
        <xdr:cNvSpPr>
          <a:spLocks noChangeShapeType="1"/>
        </xdr:cNvSpPr>
      </xdr:nvSpPr>
      <xdr:spPr bwMode="auto">
        <a:xfrm>
          <a:off x="6705600" y="156210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219075</xdr:colOff>
      <xdr:row>3</xdr:row>
      <xdr:rowOff>133350</xdr:rowOff>
    </xdr:from>
    <xdr:to>
      <xdr:col>25</xdr:col>
      <xdr:colOff>219075</xdr:colOff>
      <xdr:row>8</xdr:row>
      <xdr:rowOff>123825</xdr:rowOff>
    </xdr:to>
    <xdr:sp macro="" textlink="">
      <xdr:nvSpPr>
        <xdr:cNvPr id="21403" name="Line 28">
          <a:extLst>
            <a:ext uri="{FF2B5EF4-FFF2-40B4-BE49-F238E27FC236}">
              <a16:creationId xmlns:a16="http://schemas.microsoft.com/office/drawing/2014/main" id="{00000000-0008-0000-0000-00009B530000}"/>
            </a:ext>
          </a:extLst>
        </xdr:cNvPr>
        <xdr:cNvSpPr>
          <a:spLocks noChangeShapeType="1"/>
        </xdr:cNvSpPr>
      </xdr:nvSpPr>
      <xdr:spPr bwMode="auto">
        <a:xfrm>
          <a:off x="6838950" y="733425"/>
          <a:ext cx="0" cy="942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85724</xdr:colOff>
      <xdr:row>13</xdr:row>
      <xdr:rowOff>123825</xdr:rowOff>
    </xdr:from>
    <xdr:to>
      <xdr:col>15</xdr:col>
      <xdr:colOff>142874</xdr:colOff>
      <xdr:row>16</xdr:row>
      <xdr:rowOff>57150</xdr:rowOff>
    </xdr:to>
    <xdr:sp macro="[0]!newlink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847974" y="2657475"/>
          <a:ext cx="1381125" cy="55245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HINGE</a:t>
          </a:r>
          <a:r>
            <a:rPr lang="en-US" sz="1100" b="1" baseline="0"/>
            <a:t> JAMB</a:t>
          </a:r>
          <a:endParaRPr lang="en-US" sz="1100" b="1"/>
        </a:p>
      </xdr:txBody>
    </xdr:sp>
    <xdr:clientData/>
  </xdr:twoCellAnchor>
  <xdr:twoCellAnchor>
    <xdr:from>
      <xdr:col>8</xdr:col>
      <xdr:colOff>95250</xdr:colOff>
      <xdr:row>17</xdr:row>
      <xdr:rowOff>114300</xdr:rowOff>
    </xdr:from>
    <xdr:to>
      <xdr:col>15</xdr:col>
      <xdr:colOff>152400</xdr:colOff>
      <xdr:row>20</xdr:row>
      <xdr:rowOff>95250</xdr:rowOff>
    </xdr:to>
    <xdr:sp macro="[0]!lockstilelink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857500" y="3438525"/>
          <a:ext cx="1381125" cy="55245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LOCK</a:t>
          </a:r>
          <a:r>
            <a:rPr lang="en-US" sz="1200" b="1" baseline="0"/>
            <a:t> JAMB</a:t>
          </a:r>
          <a:endParaRPr lang="en-US" sz="1200" b="1"/>
        </a:p>
      </xdr:txBody>
    </xdr:sp>
    <xdr:clientData/>
  </xdr:twoCellAnchor>
  <xdr:twoCellAnchor>
    <xdr:from>
      <xdr:col>8</xdr:col>
      <xdr:colOff>85725</xdr:colOff>
      <xdr:row>21</xdr:row>
      <xdr:rowOff>123825</xdr:rowOff>
    </xdr:from>
    <xdr:to>
      <xdr:col>15</xdr:col>
      <xdr:colOff>142875</xdr:colOff>
      <xdr:row>24</xdr:row>
      <xdr:rowOff>66675</xdr:rowOff>
    </xdr:to>
    <xdr:sp macro="[0]!headlink" textlink="">
      <xdr:nvSpPr>
        <xdr:cNvPr id="32" name="Oval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847975" y="4210050"/>
          <a:ext cx="1381125" cy="55245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/>
            <a:t>HEAD</a:t>
          </a:r>
          <a:endParaRPr lang="en-US" sz="1100" b="1"/>
        </a:p>
      </xdr:txBody>
    </xdr:sp>
    <xdr:clientData/>
  </xdr:twoCellAnchor>
  <xdr:twoCellAnchor>
    <xdr:from>
      <xdr:col>23</xdr:col>
      <xdr:colOff>0</xdr:colOff>
      <xdr:row>22</xdr:row>
      <xdr:rowOff>0</xdr:rowOff>
    </xdr:from>
    <xdr:to>
      <xdr:col>27</xdr:col>
      <xdr:colOff>70104</xdr:colOff>
      <xdr:row>28</xdr:row>
      <xdr:rowOff>161925</xdr:rowOff>
    </xdr:to>
    <xdr:sp macro="" textlink="">
      <xdr:nvSpPr>
        <xdr:cNvPr id="29" name="Flowchart: Multidocumen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24575" y="4276725"/>
          <a:ext cx="1060704" cy="1314450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PRINT  CUTTING LIST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32</xdr:row>
      <xdr:rowOff>95250</xdr:rowOff>
    </xdr:from>
    <xdr:to>
      <xdr:col>24</xdr:col>
      <xdr:colOff>95250</xdr:colOff>
      <xdr:row>37</xdr:row>
      <xdr:rowOff>133350</xdr:rowOff>
    </xdr:to>
    <xdr:grpSp>
      <xdr:nvGrpSpPr>
        <xdr:cNvPr id="27691" name="Group 1">
          <a:extLst>
            <a:ext uri="{FF2B5EF4-FFF2-40B4-BE49-F238E27FC236}">
              <a16:creationId xmlns:a16="http://schemas.microsoft.com/office/drawing/2014/main" id="{00000000-0008-0000-0100-00002B6C0000}"/>
            </a:ext>
          </a:extLst>
        </xdr:cNvPr>
        <xdr:cNvGrpSpPr>
          <a:grpSpLocks/>
        </xdr:cNvGrpSpPr>
      </xdr:nvGrpSpPr>
      <xdr:grpSpPr bwMode="auto">
        <a:xfrm>
          <a:off x="3924300" y="6176010"/>
          <a:ext cx="2465070" cy="975360"/>
          <a:chOff x="519" y="60"/>
          <a:chExt cx="282" cy="106"/>
        </a:xfrm>
      </xdr:grpSpPr>
      <xdr:sp macro="" textlink="">
        <xdr:nvSpPr>
          <xdr:cNvPr id="27776" name="Line 2">
            <a:extLst>
              <a:ext uri="{FF2B5EF4-FFF2-40B4-BE49-F238E27FC236}">
                <a16:creationId xmlns:a16="http://schemas.microsoft.com/office/drawing/2014/main" id="{00000000-0008-0000-0100-000080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20" y="95"/>
            <a:ext cx="0" cy="69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77" name="Line 3">
            <a:extLst>
              <a:ext uri="{FF2B5EF4-FFF2-40B4-BE49-F238E27FC236}">
                <a16:creationId xmlns:a16="http://schemas.microsoft.com/office/drawing/2014/main" id="{00000000-0008-0000-0100-0000816C0000}"/>
              </a:ext>
            </a:extLst>
          </xdr:cNvPr>
          <xdr:cNvSpPr>
            <a:spLocks noChangeShapeType="1"/>
          </xdr:cNvSpPr>
        </xdr:nvSpPr>
        <xdr:spPr bwMode="auto">
          <a:xfrm>
            <a:off x="519" y="164"/>
            <a:ext cx="33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78" name="Line 4">
            <a:extLst>
              <a:ext uri="{FF2B5EF4-FFF2-40B4-BE49-F238E27FC236}">
                <a16:creationId xmlns:a16="http://schemas.microsoft.com/office/drawing/2014/main" id="{00000000-0008-0000-0100-0000826C0000}"/>
              </a:ext>
            </a:extLst>
          </xdr:cNvPr>
          <xdr:cNvSpPr>
            <a:spLocks noChangeShapeType="1"/>
          </xdr:cNvSpPr>
        </xdr:nvSpPr>
        <xdr:spPr bwMode="auto">
          <a:xfrm>
            <a:off x="519" y="96"/>
            <a:ext cx="71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79" name="Line 5">
            <a:extLst>
              <a:ext uri="{FF2B5EF4-FFF2-40B4-BE49-F238E27FC236}">
                <a16:creationId xmlns:a16="http://schemas.microsoft.com/office/drawing/2014/main" id="{00000000-0008-0000-0100-000083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92" y="60"/>
            <a:ext cx="0" cy="35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80" name="Line 6">
            <a:extLst>
              <a:ext uri="{FF2B5EF4-FFF2-40B4-BE49-F238E27FC236}">
                <a16:creationId xmlns:a16="http://schemas.microsoft.com/office/drawing/2014/main" id="{00000000-0008-0000-0100-0000846C0000}"/>
              </a:ext>
            </a:extLst>
          </xdr:cNvPr>
          <xdr:cNvSpPr>
            <a:spLocks noChangeShapeType="1"/>
          </xdr:cNvSpPr>
        </xdr:nvSpPr>
        <xdr:spPr bwMode="auto">
          <a:xfrm>
            <a:off x="591" y="60"/>
            <a:ext cx="207" cy="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83" name="Line 9">
            <a:extLst>
              <a:ext uri="{FF2B5EF4-FFF2-40B4-BE49-F238E27FC236}">
                <a16:creationId xmlns:a16="http://schemas.microsoft.com/office/drawing/2014/main" id="{00000000-0008-0000-0100-000087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00" y="60"/>
            <a:ext cx="1" cy="106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7784" name="Line 10">
            <a:extLst>
              <a:ext uri="{FF2B5EF4-FFF2-40B4-BE49-F238E27FC236}">
                <a16:creationId xmlns:a16="http://schemas.microsoft.com/office/drawing/2014/main" id="{00000000-0008-0000-0100-000088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4" y="166"/>
            <a:ext cx="37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15</xdr:col>
      <xdr:colOff>95250</xdr:colOff>
      <xdr:row>38</xdr:row>
      <xdr:rowOff>66675</xdr:rowOff>
    </xdr:from>
    <xdr:to>
      <xdr:col>15</xdr:col>
      <xdr:colOff>95250</xdr:colOff>
      <xdr:row>39</xdr:row>
      <xdr:rowOff>152400</xdr:rowOff>
    </xdr:to>
    <xdr:sp macro="" textlink="">
      <xdr:nvSpPr>
        <xdr:cNvPr id="27692" name="Line 18">
          <a:extLst>
            <a:ext uri="{FF2B5EF4-FFF2-40B4-BE49-F238E27FC236}">
              <a16:creationId xmlns:a16="http://schemas.microsoft.com/office/drawing/2014/main" id="{00000000-0008-0000-0100-00002C6C0000}"/>
            </a:ext>
          </a:extLst>
        </xdr:cNvPr>
        <xdr:cNvSpPr>
          <a:spLocks noChangeShapeType="1"/>
        </xdr:cNvSpPr>
      </xdr:nvSpPr>
      <xdr:spPr bwMode="auto">
        <a:xfrm>
          <a:off x="4067175" y="7248525"/>
          <a:ext cx="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57150</xdr:colOff>
      <xdr:row>38</xdr:row>
      <xdr:rowOff>66675</xdr:rowOff>
    </xdr:from>
    <xdr:to>
      <xdr:col>14</xdr:col>
      <xdr:colOff>66675</xdr:colOff>
      <xdr:row>39</xdr:row>
      <xdr:rowOff>142875</xdr:rowOff>
    </xdr:to>
    <xdr:sp macro="" textlink="">
      <xdr:nvSpPr>
        <xdr:cNvPr id="27693" name="Line 19">
          <a:extLst>
            <a:ext uri="{FF2B5EF4-FFF2-40B4-BE49-F238E27FC236}">
              <a16:creationId xmlns:a16="http://schemas.microsoft.com/office/drawing/2014/main" id="{00000000-0008-0000-0100-00002D6C0000}"/>
            </a:ext>
          </a:extLst>
        </xdr:cNvPr>
        <xdr:cNvSpPr>
          <a:spLocks noChangeShapeType="1"/>
        </xdr:cNvSpPr>
      </xdr:nvSpPr>
      <xdr:spPr bwMode="auto">
        <a:xfrm>
          <a:off x="3800475" y="7248525"/>
          <a:ext cx="95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0</xdr:colOff>
      <xdr:row>38</xdr:row>
      <xdr:rowOff>38100</xdr:rowOff>
    </xdr:from>
    <xdr:to>
      <xdr:col>23</xdr:col>
      <xdr:colOff>9525</xdr:colOff>
      <xdr:row>39</xdr:row>
      <xdr:rowOff>114300</xdr:rowOff>
    </xdr:to>
    <xdr:sp macro="" textlink="">
      <xdr:nvSpPr>
        <xdr:cNvPr id="27694" name="Line 20">
          <a:extLst>
            <a:ext uri="{FF2B5EF4-FFF2-40B4-BE49-F238E27FC236}">
              <a16:creationId xmlns:a16="http://schemas.microsoft.com/office/drawing/2014/main" id="{00000000-0008-0000-0100-00002E6C0000}"/>
            </a:ext>
          </a:extLst>
        </xdr:cNvPr>
        <xdr:cNvSpPr>
          <a:spLocks noChangeShapeType="1"/>
        </xdr:cNvSpPr>
      </xdr:nvSpPr>
      <xdr:spPr bwMode="auto">
        <a:xfrm>
          <a:off x="5886450" y="7219950"/>
          <a:ext cx="95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66675</xdr:colOff>
      <xdr:row>38</xdr:row>
      <xdr:rowOff>9525</xdr:rowOff>
    </xdr:from>
    <xdr:to>
      <xdr:col>24</xdr:col>
      <xdr:colOff>66675</xdr:colOff>
      <xdr:row>39</xdr:row>
      <xdr:rowOff>142875</xdr:rowOff>
    </xdr:to>
    <xdr:sp macro="" textlink="">
      <xdr:nvSpPr>
        <xdr:cNvPr id="27695" name="Line 21">
          <a:extLst>
            <a:ext uri="{FF2B5EF4-FFF2-40B4-BE49-F238E27FC236}">
              <a16:creationId xmlns:a16="http://schemas.microsoft.com/office/drawing/2014/main" id="{00000000-0008-0000-0100-00002F6C0000}"/>
            </a:ext>
          </a:extLst>
        </xdr:cNvPr>
        <xdr:cNvSpPr>
          <a:spLocks noChangeShapeType="1"/>
        </xdr:cNvSpPr>
      </xdr:nvSpPr>
      <xdr:spPr bwMode="auto">
        <a:xfrm>
          <a:off x="6200775" y="719137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39</xdr:row>
      <xdr:rowOff>38100</xdr:rowOff>
    </xdr:from>
    <xdr:to>
      <xdr:col>24</xdr:col>
      <xdr:colOff>133350</xdr:colOff>
      <xdr:row>39</xdr:row>
      <xdr:rowOff>38100</xdr:rowOff>
    </xdr:to>
    <xdr:sp macro="" textlink="">
      <xdr:nvSpPr>
        <xdr:cNvPr id="27696" name="Line 22">
          <a:extLst>
            <a:ext uri="{FF2B5EF4-FFF2-40B4-BE49-F238E27FC236}">
              <a16:creationId xmlns:a16="http://schemas.microsoft.com/office/drawing/2014/main" id="{00000000-0008-0000-0100-0000306C0000}"/>
            </a:ext>
          </a:extLst>
        </xdr:cNvPr>
        <xdr:cNvSpPr>
          <a:spLocks noChangeShapeType="1"/>
        </xdr:cNvSpPr>
      </xdr:nvSpPr>
      <xdr:spPr bwMode="auto">
        <a:xfrm>
          <a:off x="3743325" y="7381875"/>
          <a:ext cx="2524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28575</xdr:colOff>
      <xdr:row>37</xdr:row>
      <xdr:rowOff>123825</xdr:rowOff>
    </xdr:from>
    <xdr:to>
      <xdr:col>14</xdr:col>
      <xdr:colOff>9525</xdr:colOff>
      <xdr:row>37</xdr:row>
      <xdr:rowOff>123825</xdr:rowOff>
    </xdr:to>
    <xdr:sp macro="" textlink="">
      <xdr:nvSpPr>
        <xdr:cNvPr id="27697" name="Line 23">
          <a:extLst>
            <a:ext uri="{FF2B5EF4-FFF2-40B4-BE49-F238E27FC236}">
              <a16:creationId xmlns:a16="http://schemas.microsoft.com/office/drawing/2014/main" id="{00000000-0008-0000-0100-0000316C0000}"/>
            </a:ext>
          </a:extLst>
        </xdr:cNvPr>
        <xdr:cNvSpPr>
          <a:spLocks noChangeShapeType="1"/>
        </xdr:cNvSpPr>
      </xdr:nvSpPr>
      <xdr:spPr bwMode="auto">
        <a:xfrm flipH="1">
          <a:off x="3533775" y="7143750"/>
          <a:ext cx="219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19050</xdr:colOff>
      <xdr:row>34</xdr:row>
      <xdr:rowOff>38100</xdr:rowOff>
    </xdr:from>
    <xdr:to>
      <xdr:col>13</xdr:col>
      <xdr:colOff>228600</xdr:colOff>
      <xdr:row>34</xdr:row>
      <xdr:rowOff>38100</xdr:rowOff>
    </xdr:to>
    <xdr:sp macro="" textlink="">
      <xdr:nvSpPr>
        <xdr:cNvPr id="27698" name="Line 24">
          <a:extLst>
            <a:ext uri="{FF2B5EF4-FFF2-40B4-BE49-F238E27FC236}">
              <a16:creationId xmlns:a16="http://schemas.microsoft.com/office/drawing/2014/main" id="{00000000-0008-0000-0100-0000326C0000}"/>
            </a:ext>
          </a:extLst>
        </xdr:cNvPr>
        <xdr:cNvSpPr>
          <a:spLocks noChangeShapeType="1"/>
        </xdr:cNvSpPr>
      </xdr:nvSpPr>
      <xdr:spPr bwMode="auto">
        <a:xfrm flipH="1">
          <a:off x="3524250" y="6505575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209550</xdr:colOff>
      <xdr:row>32</xdr:row>
      <xdr:rowOff>38100</xdr:rowOff>
    </xdr:from>
    <xdr:to>
      <xdr:col>13</xdr:col>
      <xdr:colOff>219075</xdr:colOff>
      <xdr:row>32</xdr:row>
      <xdr:rowOff>38100</xdr:rowOff>
    </xdr:to>
    <xdr:sp macro="" textlink="">
      <xdr:nvSpPr>
        <xdr:cNvPr id="27699" name="Line 25">
          <a:extLst>
            <a:ext uri="{FF2B5EF4-FFF2-40B4-BE49-F238E27FC236}">
              <a16:creationId xmlns:a16="http://schemas.microsoft.com/office/drawing/2014/main" id="{00000000-0008-0000-0100-0000336C0000}"/>
            </a:ext>
          </a:extLst>
        </xdr:cNvPr>
        <xdr:cNvSpPr>
          <a:spLocks noChangeShapeType="1"/>
        </xdr:cNvSpPr>
      </xdr:nvSpPr>
      <xdr:spPr bwMode="auto">
        <a:xfrm flipH="1">
          <a:off x="3495675" y="61245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104775</xdr:colOff>
      <xdr:row>31</xdr:row>
      <xdr:rowOff>180975</xdr:rowOff>
    </xdr:from>
    <xdr:to>
      <xdr:col>13</xdr:col>
      <xdr:colOff>104775</xdr:colOff>
      <xdr:row>38</xdr:row>
      <xdr:rowOff>28575</xdr:rowOff>
    </xdr:to>
    <xdr:sp macro="" textlink="">
      <xdr:nvSpPr>
        <xdr:cNvPr id="27700" name="Line 26">
          <a:extLst>
            <a:ext uri="{FF2B5EF4-FFF2-40B4-BE49-F238E27FC236}">
              <a16:creationId xmlns:a16="http://schemas.microsoft.com/office/drawing/2014/main" id="{00000000-0008-0000-0100-0000346C0000}"/>
            </a:ext>
          </a:extLst>
        </xdr:cNvPr>
        <xdr:cNvSpPr>
          <a:spLocks noChangeShapeType="1"/>
        </xdr:cNvSpPr>
      </xdr:nvSpPr>
      <xdr:spPr bwMode="auto">
        <a:xfrm>
          <a:off x="3609975" y="6076950"/>
          <a:ext cx="0" cy="1133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57150</xdr:colOff>
      <xdr:row>30</xdr:row>
      <xdr:rowOff>38100</xdr:rowOff>
    </xdr:from>
    <xdr:to>
      <xdr:col>14</xdr:col>
      <xdr:colOff>57150</xdr:colOff>
      <xdr:row>31</xdr:row>
      <xdr:rowOff>47625</xdr:rowOff>
    </xdr:to>
    <xdr:sp macro="" textlink="">
      <xdr:nvSpPr>
        <xdr:cNvPr id="27701" name="Line 27">
          <a:extLst>
            <a:ext uri="{FF2B5EF4-FFF2-40B4-BE49-F238E27FC236}">
              <a16:creationId xmlns:a16="http://schemas.microsoft.com/office/drawing/2014/main" id="{00000000-0008-0000-0100-0000356C0000}"/>
            </a:ext>
          </a:extLst>
        </xdr:cNvPr>
        <xdr:cNvSpPr>
          <a:spLocks noChangeShapeType="1"/>
        </xdr:cNvSpPr>
      </xdr:nvSpPr>
      <xdr:spPr bwMode="auto">
        <a:xfrm flipV="1">
          <a:off x="3800475" y="57340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209550</xdr:colOff>
      <xdr:row>30</xdr:row>
      <xdr:rowOff>76200</xdr:rowOff>
    </xdr:from>
    <xdr:to>
      <xdr:col>16</xdr:col>
      <xdr:colOff>209550</xdr:colOff>
      <xdr:row>31</xdr:row>
      <xdr:rowOff>76200</xdr:rowOff>
    </xdr:to>
    <xdr:sp macro="" textlink="">
      <xdr:nvSpPr>
        <xdr:cNvPr id="27702" name="Line 28">
          <a:extLst>
            <a:ext uri="{FF2B5EF4-FFF2-40B4-BE49-F238E27FC236}">
              <a16:creationId xmlns:a16="http://schemas.microsoft.com/office/drawing/2014/main" id="{00000000-0008-0000-0100-0000366C0000}"/>
            </a:ext>
          </a:extLst>
        </xdr:cNvPr>
        <xdr:cNvSpPr>
          <a:spLocks noChangeShapeType="1"/>
        </xdr:cNvSpPr>
      </xdr:nvSpPr>
      <xdr:spPr bwMode="auto">
        <a:xfrm flipV="1">
          <a:off x="4400550" y="57721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66675</xdr:colOff>
      <xdr:row>30</xdr:row>
      <xdr:rowOff>114300</xdr:rowOff>
    </xdr:from>
    <xdr:to>
      <xdr:col>24</xdr:col>
      <xdr:colOff>66675</xdr:colOff>
      <xdr:row>31</xdr:row>
      <xdr:rowOff>114300</xdr:rowOff>
    </xdr:to>
    <xdr:sp macro="" textlink="">
      <xdr:nvSpPr>
        <xdr:cNvPr id="27704" name="Line 30">
          <a:extLst>
            <a:ext uri="{FF2B5EF4-FFF2-40B4-BE49-F238E27FC236}">
              <a16:creationId xmlns:a16="http://schemas.microsoft.com/office/drawing/2014/main" id="{00000000-0008-0000-0100-0000386C0000}"/>
            </a:ext>
          </a:extLst>
        </xdr:cNvPr>
        <xdr:cNvSpPr>
          <a:spLocks noChangeShapeType="1"/>
        </xdr:cNvSpPr>
      </xdr:nvSpPr>
      <xdr:spPr bwMode="auto">
        <a:xfrm flipV="1">
          <a:off x="6200775" y="5810250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19050</xdr:colOff>
      <xdr:row>30</xdr:row>
      <xdr:rowOff>190500</xdr:rowOff>
    </xdr:from>
    <xdr:to>
      <xdr:col>24</xdr:col>
      <xdr:colOff>133350</xdr:colOff>
      <xdr:row>30</xdr:row>
      <xdr:rowOff>190500</xdr:rowOff>
    </xdr:to>
    <xdr:sp macro="" textlink="">
      <xdr:nvSpPr>
        <xdr:cNvPr id="27705" name="Line 31">
          <a:extLst>
            <a:ext uri="{FF2B5EF4-FFF2-40B4-BE49-F238E27FC236}">
              <a16:creationId xmlns:a16="http://schemas.microsoft.com/office/drawing/2014/main" id="{00000000-0008-0000-0100-0000396C0000}"/>
            </a:ext>
          </a:extLst>
        </xdr:cNvPr>
        <xdr:cNvSpPr>
          <a:spLocks noChangeShapeType="1"/>
        </xdr:cNvSpPr>
      </xdr:nvSpPr>
      <xdr:spPr bwMode="auto">
        <a:xfrm>
          <a:off x="3762375" y="5886450"/>
          <a:ext cx="2505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133350</xdr:colOff>
      <xdr:row>32</xdr:row>
      <xdr:rowOff>47625</xdr:rowOff>
    </xdr:from>
    <xdr:to>
      <xdr:col>25</xdr:col>
      <xdr:colOff>95250</xdr:colOff>
      <xdr:row>32</xdr:row>
      <xdr:rowOff>47625</xdr:rowOff>
    </xdr:to>
    <xdr:sp macro="" textlink="">
      <xdr:nvSpPr>
        <xdr:cNvPr id="27706" name="Line 32">
          <a:extLst>
            <a:ext uri="{FF2B5EF4-FFF2-40B4-BE49-F238E27FC236}">
              <a16:creationId xmlns:a16="http://schemas.microsoft.com/office/drawing/2014/main" id="{00000000-0008-0000-0100-00003A6C0000}"/>
            </a:ext>
          </a:extLst>
        </xdr:cNvPr>
        <xdr:cNvSpPr>
          <a:spLocks noChangeShapeType="1"/>
        </xdr:cNvSpPr>
      </xdr:nvSpPr>
      <xdr:spPr bwMode="auto">
        <a:xfrm>
          <a:off x="6267450" y="6134100"/>
          <a:ext cx="209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123825</xdr:colOff>
      <xdr:row>37</xdr:row>
      <xdr:rowOff>95250</xdr:rowOff>
    </xdr:from>
    <xdr:to>
      <xdr:col>25</xdr:col>
      <xdr:colOff>142875</xdr:colOff>
      <xdr:row>37</xdr:row>
      <xdr:rowOff>95250</xdr:rowOff>
    </xdr:to>
    <xdr:sp macro="" textlink="">
      <xdr:nvSpPr>
        <xdr:cNvPr id="27708" name="Line 34">
          <a:extLst>
            <a:ext uri="{FF2B5EF4-FFF2-40B4-BE49-F238E27FC236}">
              <a16:creationId xmlns:a16="http://schemas.microsoft.com/office/drawing/2014/main" id="{00000000-0008-0000-0100-00003C6C0000}"/>
            </a:ext>
          </a:extLst>
        </xdr:cNvPr>
        <xdr:cNvSpPr>
          <a:spLocks noChangeShapeType="1"/>
        </xdr:cNvSpPr>
      </xdr:nvSpPr>
      <xdr:spPr bwMode="auto">
        <a:xfrm>
          <a:off x="6257925" y="71151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9525</xdr:colOff>
      <xdr:row>31</xdr:row>
      <xdr:rowOff>114300</xdr:rowOff>
    </xdr:from>
    <xdr:to>
      <xdr:col>25</xdr:col>
      <xdr:colOff>9525</xdr:colOff>
      <xdr:row>38</xdr:row>
      <xdr:rowOff>85725</xdr:rowOff>
    </xdr:to>
    <xdr:sp macro="" textlink="">
      <xdr:nvSpPr>
        <xdr:cNvPr id="27709" name="Line 35">
          <a:extLst>
            <a:ext uri="{FF2B5EF4-FFF2-40B4-BE49-F238E27FC236}">
              <a16:creationId xmlns:a16="http://schemas.microsoft.com/office/drawing/2014/main" id="{00000000-0008-0000-0100-00003D6C0000}"/>
            </a:ext>
          </a:extLst>
        </xdr:cNvPr>
        <xdr:cNvSpPr>
          <a:spLocks noChangeShapeType="1"/>
        </xdr:cNvSpPr>
      </xdr:nvSpPr>
      <xdr:spPr bwMode="auto">
        <a:xfrm>
          <a:off x="6391275" y="6010275"/>
          <a:ext cx="0" cy="1257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276225</xdr:colOff>
      <xdr:row>75</xdr:row>
      <xdr:rowOff>0</xdr:rowOff>
    </xdr:from>
    <xdr:to>
      <xdr:col>1</xdr:col>
      <xdr:colOff>276225</xdr:colOff>
      <xdr:row>78</xdr:row>
      <xdr:rowOff>142875</xdr:rowOff>
    </xdr:to>
    <xdr:sp macro="" textlink="">
      <xdr:nvSpPr>
        <xdr:cNvPr id="27710" name="Line 150">
          <a:extLst>
            <a:ext uri="{FF2B5EF4-FFF2-40B4-BE49-F238E27FC236}">
              <a16:creationId xmlns:a16="http://schemas.microsoft.com/office/drawing/2014/main" id="{00000000-0008-0000-0100-00003E6C0000}"/>
            </a:ext>
          </a:extLst>
        </xdr:cNvPr>
        <xdr:cNvSpPr>
          <a:spLocks noChangeShapeType="1"/>
        </xdr:cNvSpPr>
      </xdr:nvSpPr>
      <xdr:spPr bwMode="auto">
        <a:xfrm flipV="1">
          <a:off x="523875" y="13563600"/>
          <a:ext cx="0" cy="62865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1</xdr:col>
      <xdr:colOff>266700</xdr:colOff>
      <xdr:row>78</xdr:row>
      <xdr:rowOff>142875</xdr:rowOff>
    </xdr:from>
    <xdr:to>
      <xdr:col>2</xdr:col>
      <xdr:colOff>352425</xdr:colOff>
      <xdr:row>78</xdr:row>
      <xdr:rowOff>142875</xdr:rowOff>
    </xdr:to>
    <xdr:sp macro="" textlink="">
      <xdr:nvSpPr>
        <xdr:cNvPr id="27711" name="Line 151">
          <a:extLst>
            <a:ext uri="{FF2B5EF4-FFF2-40B4-BE49-F238E27FC236}">
              <a16:creationId xmlns:a16="http://schemas.microsoft.com/office/drawing/2014/main" id="{00000000-0008-0000-0100-00003F6C0000}"/>
            </a:ext>
          </a:extLst>
        </xdr:cNvPr>
        <xdr:cNvSpPr>
          <a:spLocks noChangeShapeType="1"/>
        </xdr:cNvSpPr>
      </xdr:nvSpPr>
      <xdr:spPr bwMode="auto">
        <a:xfrm>
          <a:off x="514350" y="14192250"/>
          <a:ext cx="619125" cy="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1</xdr:col>
      <xdr:colOff>266700</xdr:colOff>
      <xdr:row>75</xdr:row>
      <xdr:rowOff>9525</xdr:rowOff>
    </xdr:from>
    <xdr:to>
      <xdr:col>2</xdr:col>
      <xdr:colOff>285750</xdr:colOff>
      <xdr:row>75</xdr:row>
      <xdr:rowOff>9525</xdr:rowOff>
    </xdr:to>
    <xdr:sp macro="" textlink="">
      <xdr:nvSpPr>
        <xdr:cNvPr id="27712" name="Line 152">
          <a:extLst>
            <a:ext uri="{FF2B5EF4-FFF2-40B4-BE49-F238E27FC236}">
              <a16:creationId xmlns:a16="http://schemas.microsoft.com/office/drawing/2014/main" id="{00000000-0008-0000-0100-0000406C0000}"/>
            </a:ext>
          </a:extLst>
        </xdr:cNvPr>
        <xdr:cNvSpPr>
          <a:spLocks noChangeShapeType="1"/>
        </xdr:cNvSpPr>
      </xdr:nvSpPr>
      <xdr:spPr bwMode="auto">
        <a:xfrm>
          <a:off x="514350" y="13573125"/>
          <a:ext cx="552450" cy="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2</xdr:col>
      <xdr:colOff>304800</xdr:colOff>
      <xdr:row>73</xdr:row>
      <xdr:rowOff>0</xdr:rowOff>
    </xdr:from>
    <xdr:to>
      <xdr:col>2</xdr:col>
      <xdr:colOff>304800</xdr:colOff>
      <xdr:row>75</xdr:row>
      <xdr:rowOff>0</xdr:rowOff>
    </xdr:to>
    <xdr:sp macro="" textlink="">
      <xdr:nvSpPr>
        <xdr:cNvPr id="27713" name="Line 153">
          <a:extLst>
            <a:ext uri="{FF2B5EF4-FFF2-40B4-BE49-F238E27FC236}">
              <a16:creationId xmlns:a16="http://schemas.microsoft.com/office/drawing/2014/main" id="{00000000-0008-0000-0100-0000416C0000}"/>
            </a:ext>
          </a:extLst>
        </xdr:cNvPr>
        <xdr:cNvSpPr>
          <a:spLocks noChangeShapeType="1"/>
        </xdr:cNvSpPr>
      </xdr:nvSpPr>
      <xdr:spPr bwMode="auto">
        <a:xfrm flipV="1">
          <a:off x="1085850" y="13239750"/>
          <a:ext cx="0" cy="32385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2</xdr:col>
      <xdr:colOff>295275</xdr:colOff>
      <xdr:row>73</xdr:row>
      <xdr:rowOff>0</xdr:rowOff>
    </xdr:from>
    <xdr:to>
      <xdr:col>5</xdr:col>
      <xdr:colOff>133350</xdr:colOff>
      <xdr:row>73</xdr:row>
      <xdr:rowOff>0</xdr:rowOff>
    </xdr:to>
    <xdr:sp macro="" textlink="">
      <xdr:nvSpPr>
        <xdr:cNvPr id="27714" name="Line 154">
          <a:extLst>
            <a:ext uri="{FF2B5EF4-FFF2-40B4-BE49-F238E27FC236}">
              <a16:creationId xmlns:a16="http://schemas.microsoft.com/office/drawing/2014/main" id="{00000000-0008-0000-0100-0000426C0000}"/>
            </a:ext>
          </a:extLst>
        </xdr:cNvPr>
        <xdr:cNvSpPr>
          <a:spLocks noChangeShapeType="1"/>
        </xdr:cNvSpPr>
      </xdr:nvSpPr>
      <xdr:spPr bwMode="auto">
        <a:xfrm>
          <a:off x="1076325" y="13239750"/>
          <a:ext cx="942975" cy="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5</xdr:col>
      <xdr:colOff>152400</xdr:colOff>
      <xdr:row>73</xdr:row>
      <xdr:rowOff>19050</xdr:rowOff>
    </xdr:from>
    <xdr:to>
      <xdr:col>5</xdr:col>
      <xdr:colOff>152400</xdr:colOff>
      <xdr:row>75</xdr:row>
      <xdr:rowOff>19050</xdr:rowOff>
    </xdr:to>
    <xdr:sp macro="" textlink="">
      <xdr:nvSpPr>
        <xdr:cNvPr id="27715" name="Line 155">
          <a:extLst>
            <a:ext uri="{FF2B5EF4-FFF2-40B4-BE49-F238E27FC236}">
              <a16:creationId xmlns:a16="http://schemas.microsoft.com/office/drawing/2014/main" id="{00000000-0008-0000-0100-0000436C0000}"/>
            </a:ext>
          </a:extLst>
        </xdr:cNvPr>
        <xdr:cNvSpPr>
          <a:spLocks noChangeShapeType="1"/>
        </xdr:cNvSpPr>
      </xdr:nvSpPr>
      <xdr:spPr bwMode="auto">
        <a:xfrm flipH="1">
          <a:off x="2038350" y="13258800"/>
          <a:ext cx="0" cy="32385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2</xdr:col>
      <xdr:colOff>342900</xdr:colOff>
      <xdr:row>78</xdr:row>
      <xdr:rowOff>142875</xdr:rowOff>
    </xdr:from>
    <xdr:to>
      <xdr:col>2</xdr:col>
      <xdr:colOff>342900</xdr:colOff>
      <xdr:row>80</xdr:row>
      <xdr:rowOff>66675</xdr:rowOff>
    </xdr:to>
    <xdr:sp macro="" textlink="">
      <xdr:nvSpPr>
        <xdr:cNvPr id="27716" name="Line 159">
          <a:extLst>
            <a:ext uri="{FF2B5EF4-FFF2-40B4-BE49-F238E27FC236}">
              <a16:creationId xmlns:a16="http://schemas.microsoft.com/office/drawing/2014/main" id="{00000000-0008-0000-0100-0000446C0000}"/>
            </a:ext>
          </a:extLst>
        </xdr:cNvPr>
        <xdr:cNvSpPr>
          <a:spLocks noChangeShapeType="1"/>
        </xdr:cNvSpPr>
      </xdr:nvSpPr>
      <xdr:spPr bwMode="auto">
        <a:xfrm>
          <a:off x="1123950" y="14192250"/>
          <a:ext cx="0" cy="247650"/>
        </a:xfrm>
        <a:prstGeom prst="line">
          <a:avLst/>
        </a:prstGeom>
        <a:noFill/>
        <a:ln w="28575">
          <a:noFill/>
          <a:round/>
          <a:headEnd/>
          <a:tailEnd/>
        </a:ln>
      </xdr:spPr>
    </xdr:sp>
    <xdr:clientData/>
  </xdr:twoCellAnchor>
  <xdr:twoCellAnchor>
    <xdr:from>
      <xdr:col>1</xdr:col>
      <xdr:colOff>28575</xdr:colOff>
      <xdr:row>79</xdr:row>
      <xdr:rowOff>9525</xdr:rowOff>
    </xdr:from>
    <xdr:to>
      <xdr:col>1</xdr:col>
      <xdr:colOff>238125</xdr:colOff>
      <xdr:row>79</xdr:row>
      <xdr:rowOff>9525</xdr:rowOff>
    </xdr:to>
    <xdr:sp macro="" textlink="">
      <xdr:nvSpPr>
        <xdr:cNvPr id="27717" name="Line 164">
          <a:extLst>
            <a:ext uri="{FF2B5EF4-FFF2-40B4-BE49-F238E27FC236}">
              <a16:creationId xmlns:a16="http://schemas.microsoft.com/office/drawing/2014/main" id="{00000000-0008-0000-0100-0000456C0000}"/>
            </a:ext>
          </a:extLst>
        </xdr:cNvPr>
        <xdr:cNvSpPr>
          <a:spLocks noChangeShapeType="1"/>
        </xdr:cNvSpPr>
      </xdr:nvSpPr>
      <xdr:spPr bwMode="auto">
        <a:xfrm flipH="1">
          <a:off x="276225" y="14220825"/>
          <a:ext cx="209550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19050</xdr:colOff>
      <xdr:row>75</xdr:row>
      <xdr:rowOff>19050</xdr:rowOff>
    </xdr:from>
    <xdr:to>
      <xdr:col>1</xdr:col>
      <xdr:colOff>219075</xdr:colOff>
      <xdr:row>75</xdr:row>
      <xdr:rowOff>19050</xdr:rowOff>
    </xdr:to>
    <xdr:sp macro="" textlink="">
      <xdr:nvSpPr>
        <xdr:cNvPr id="27718" name="Line 165">
          <a:extLst>
            <a:ext uri="{FF2B5EF4-FFF2-40B4-BE49-F238E27FC236}">
              <a16:creationId xmlns:a16="http://schemas.microsoft.com/office/drawing/2014/main" id="{00000000-0008-0000-0100-0000466C0000}"/>
            </a:ext>
          </a:extLst>
        </xdr:cNvPr>
        <xdr:cNvSpPr>
          <a:spLocks noChangeShapeType="1"/>
        </xdr:cNvSpPr>
      </xdr:nvSpPr>
      <xdr:spPr bwMode="auto">
        <a:xfrm flipH="1">
          <a:off x="266700" y="13582650"/>
          <a:ext cx="200025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1</xdr:col>
      <xdr:colOff>209550</xdr:colOff>
      <xdr:row>72</xdr:row>
      <xdr:rowOff>123825</xdr:rowOff>
    </xdr:to>
    <xdr:sp macro="" textlink="">
      <xdr:nvSpPr>
        <xdr:cNvPr id="27719" name="Line 166">
          <a:extLst>
            <a:ext uri="{FF2B5EF4-FFF2-40B4-BE49-F238E27FC236}">
              <a16:creationId xmlns:a16="http://schemas.microsoft.com/office/drawing/2014/main" id="{00000000-0008-0000-0100-0000476C0000}"/>
            </a:ext>
          </a:extLst>
        </xdr:cNvPr>
        <xdr:cNvSpPr>
          <a:spLocks noChangeShapeType="1"/>
        </xdr:cNvSpPr>
      </xdr:nvSpPr>
      <xdr:spPr bwMode="auto">
        <a:xfrm flipH="1">
          <a:off x="247650" y="13201650"/>
          <a:ext cx="209550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95250</xdr:colOff>
      <xdr:row>72</xdr:row>
      <xdr:rowOff>76200</xdr:rowOff>
    </xdr:from>
    <xdr:to>
      <xdr:col>1</xdr:col>
      <xdr:colOff>95250</xdr:colOff>
      <xdr:row>81</xdr:row>
      <xdr:rowOff>38100</xdr:rowOff>
    </xdr:to>
    <xdr:sp macro="" textlink="">
      <xdr:nvSpPr>
        <xdr:cNvPr id="27720" name="Line 167">
          <a:extLst>
            <a:ext uri="{FF2B5EF4-FFF2-40B4-BE49-F238E27FC236}">
              <a16:creationId xmlns:a16="http://schemas.microsoft.com/office/drawing/2014/main" id="{00000000-0008-0000-0100-0000486C0000}"/>
            </a:ext>
          </a:extLst>
        </xdr:cNvPr>
        <xdr:cNvSpPr>
          <a:spLocks noChangeShapeType="1"/>
        </xdr:cNvSpPr>
      </xdr:nvSpPr>
      <xdr:spPr bwMode="auto">
        <a:xfrm>
          <a:off x="342900" y="13154025"/>
          <a:ext cx="0" cy="1419225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276225</xdr:colOff>
      <xdr:row>70</xdr:row>
      <xdr:rowOff>104775</xdr:rowOff>
    </xdr:from>
    <xdr:to>
      <xdr:col>1</xdr:col>
      <xdr:colOff>276225</xdr:colOff>
      <xdr:row>71</xdr:row>
      <xdr:rowOff>152400</xdr:rowOff>
    </xdr:to>
    <xdr:sp macro="" textlink="">
      <xdr:nvSpPr>
        <xdr:cNvPr id="27721" name="Line 168">
          <a:extLst>
            <a:ext uri="{FF2B5EF4-FFF2-40B4-BE49-F238E27FC236}">
              <a16:creationId xmlns:a16="http://schemas.microsoft.com/office/drawing/2014/main" id="{00000000-0008-0000-0100-0000496C0000}"/>
            </a:ext>
          </a:extLst>
        </xdr:cNvPr>
        <xdr:cNvSpPr>
          <a:spLocks noChangeShapeType="1"/>
        </xdr:cNvSpPr>
      </xdr:nvSpPr>
      <xdr:spPr bwMode="auto">
        <a:xfrm flipV="1">
          <a:off x="523875" y="12858750"/>
          <a:ext cx="0" cy="20955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2</xdr:col>
      <xdr:colOff>285750</xdr:colOff>
      <xdr:row>70</xdr:row>
      <xdr:rowOff>95250</xdr:rowOff>
    </xdr:from>
    <xdr:to>
      <xdr:col>2</xdr:col>
      <xdr:colOff>285750</xdr:colOff>
      <xdr:row>71</xdr:row>
      <xdr:rowOff>133350</xdr:rowOff>
    </xdr:to>
    <xdr:sp macro="" textlink="">
      <xdr:nvSpPr>
        <xdr:cNvPr id="27722" name="Line 169">
          <a:extLst>
            <a:ext uri="{FF2B5EF4-FFF2-40B4-BE49-F238E27FC236}">
              <a16:creationId xmlns:a16="http://schemas.microsoft.com/office/drawing/2014/main" id="{00000000-0008-0000-0100-00004A6C0000}"/>
            </a:ext>
          </a:extLst>
        </xdr:cNvPr>
        <xdr:cNvSpPr>
          <a:spLocks noChangeShapeType="1"/>
        </xdr:cNvSpPr>
      </xdr:nvSpPr>
      <xdr:spPr bwMode="auto">
        <a:xfrm flipV="1">
          <a:off x="1066800" y="12849225"/>
          <a:ext cx="0" cy="200025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5</xdr:col>
      <xdr:colOff>152400</xdr:colOff>
      <xdr:row>70</xdr:row>
      <xdr:rowOff>95250</xdr:rowOff>
    </xdr:from>
    <xdr:to>
      <xdr:col>5</xdr:col>
      <xdr:colOff>152400</xdr:colOff>
      <xdr:row>72</xdr:row>
      <xdr:rowOff>19050</xdr:rowOff>
    </xdr:to>
    <xdr:sp macro="" textlink="">
      <xdr:nvSpPr>
        <xdr:cNvPr id="27723" name="Line 170">
          <a:extLst>
            <a:ext uri="{FF2B5EF4-FFF2-40B4-BE49-F238E27FC236}">
              <a16:creationId xmlns:a16="http://schemas.microsoft.com/office/drawing/2014/main" id="{00000000-0008-0000-0100-00004B6C0000}"/>
            </a:ext>
          </a:extLst>
        </xdr:cNvPr>
        <xdr:cNvSpPr>
          <a:spLocks noChangeShapeType="1"/>
        </xdr:cNvSpPr>
      </xdr:nvSpPr>
      <xdr:spPr bwMode="auto">
        <a:xfrm flipV="1">
          <a:off x="2038350" y="12849225"/>
          <a:ext cx="0" cy="24765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247650</xdr:colOff>
      <xdr:row>71</xdr:row>
      <xdr:rowOff>47625</xdr:rowOff>
    </xdr:from>
    <xdr:to>
      <xdr:col>6</xdr:col>
      <xdr:colOff>76200</xdr:colOff>
      <xdr:row>71</xdr:row>
      <xdr:rowOff>47625</xdr:rowOff>
    </xdr:to>
    <xdr:sp macro="" textlink="">
      <xdr:nvSpPr>
        <xdr:cNvPr id="27724" name="Line 172">
          <a:extLst>
            <a:ext uri="{FF2B5EF4-FFF2-40B4-BE49-F238E27FC236}">
              <a16:creationId xmlns:a16="http://schemas.microsoft.com/office/drawing/2014/main" id="{00000000-0008-0000-0100-00004C6C0000}"/>
            </a:ext>
          </a:extLst>
        </xdr:cNvPr>
        <xdr:cNvSpPr>
          <a:spLocks noChangeShapeType="1"/>
        </xdr:cNvSpPr>
      </xdr:nvSpPr>
      <xdr:spPr bwMode="auto">
        <a:xfrm>
          <a:off x="495300" y="12963525"/>
          <a:ext cx="1638300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6</xdr:col>
      <xdr:colOff>219075</xdr:colOff>
      <xdr:row>72</xdr:row>
      <xdr:rowOff>152400</xdr:rowOff>
    </xdr:from>
    <xdr:to>
      <xdr:col>7</xdr:col>
      <xdr:colOff>142875</xdr:colOff>
      <xdr:row>72</xdr:row>
      <xdr:rowOff>152400</xdr:rowOff>
    </xdr:to>
    <xdr:sp macro="" textlink="">
      <xdr:nvSpPr>
        <xdr:cNvPr id="27725" name="Line 173">
          <a:extLst>
            <a:ext uri="{FF2B5EF4-FFF2-40B4-BE49-F238E27FC236}">
              <a16:creationId xmlns:a16="http://schemas.microsoft.com/office/drawing/2014/main" id="{00000000-0008-0000-0100-00004D6C0000}"/>
            </a:ext>
          </a:extLst>
        </xdr:cNvPr>
        <xdr:cNvSpPr>
          <a:spLocks noChangeShapeType="1"/>
        </xdr:cNvSpPr>
      </xdr:nvSpPr>
      <xdr:spPr bwMode="auto">
        <a:xfrm>
          <a:off x="2276475" y="13230225"/>
          <a:ext cx="200025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6</xdr:col>
      <xdr:colOff>209550</xdr:colOff>
      <xdr:row>75</xdr:row>
      <xdr:rowOff>28575</xdr:rowOff>
    </xdr:from>
    <xdr:to>
      <xdr:col>7</xdr:col>
      <xdr:colOff>142875</xdr:colOff>
      <xdr:row>75</xdr:row>
      <xdr:rowOff>28575</xdr:rowOff>
    </xdr:to>
    <xdr:sp macro="" textlink="">
      <xdr:nvSpPr>
        <xdr:cNvPr id="27726" name="Line 174">
          <a:extLst>
            <a:ext uri="{FF2B5EF4-FFF2-40B4-BE49-F238E27FC236}">
              <a16:creationId xmlns:a16="http://schemas.microsoft.com/office/drawing/2014/main" id="{00000000-0008-0000-0100-00004E6C0000}"/>
            </a:ext>
          </a:extLst>
        </xdr:cNvPr>
        <xdr:cNvSpPr>
          <a:spLocks noChangeShapeType="1"/>
        </xdr:cNvSpPr>
      </xdr:nvSpPr>
      <xdr:spPr bwMode="auto">
        <a:xfrm>
          <a:off x="2266950" y="13592175"/>
          <a:ext cx="209550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38100</xdr:colOff>
      <xdr:row>72</xdr:row>
      <xdr:rowOff>47625</xdr:rowOff>
    </xdr:from>
    <xdr:to>
      <xdr:col>7</xdr:col>
      <xdr:colOff>38100</xdr:colOff>
      <xdr:row>75</xdr:row>
      <xdr:rowOff>95250</xdr:rowOff>
    </xdr:to>
    <xdr:sp macro="" textlink="">
      <xdr:nvSpPr>
        <xdr:cNvPr id="27727" name="Line 177">
          <a:extLst>
            <a:ext uri="{FF2B5EF4-FFF2-40B4-BE49-F238E27FC236}">
              <a16:creationId xmlns:a16="http://schemas.microsoft.com/office/drawing/2014/main" id="{00000000-0008-0000-0100-00004F6C0000}"/>
            </a:ext>
          </a:extLst>
        </xdr:cNvPr>
        <xdr:cNvSpPr>
          <a:spLocks noChangeShapeType="1"/>
        </xdr:cNvSpPr>
      </xdr:nvSpPr>
      <xdr:spPr bwMode="auto">
        <a:xfrm>
          <a:off x="2371725" y="13125450"/>
          <a:ext cx="0" cy="53340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1</xdr:col>
      <xdr:colOff>28575</xdr:colOff>
      <xdr:row>80</xdr:row>
      <xdr:rowOff>142875</xdr:rowOff>
    </xdr:from>
    <xdr:to>
      <xdr:col>1</xdr:col>
      <xdr:colOff>152400</xdr:colOff>
      <xdr:row>80</xdr:row>
      <xdr:rowOff>142875</xdr:rowOff>
    </xdr:to>
    <xdr:sp macro="" textlink="">
      <xdr:nvSpPr>
        <xdr:cNvPr id="27728" name="Line 178">
          <a:extLst>
            <a:ext uri="{FF2B5EF4-FFF2-40B4-BE49-F238E27FC236}">
              <a16:creationId xmlns:a16="http://schemas.microsoft.com/office/drawing/2014/main" id="{00000000-0008-0000-0100-0000506C0000}"/>
            </a:ext>
          </a:extLst>
        </xdr:cNvPr>
        <xdr:cNvSpPr>
          <a:spLocks noChangeShapeType="1"/>
        </xdr:cNvSpPr>
      </xdr:nvSpPr>
      <xdr:spPr bwMode="auto">
        <a:xfrm>
          <a:off x="276225" y="14516100"/>
          <a:ext cx="123825" cy="0"/>
        </a:xfrm>
        <a:prstGeom prst="line">
          <a:avLst/>
        </a:prstGeom>
        <a:noFill/>
        <a:ln w="9525">
          <a:noFill/>
          <a:round/>
          <a:headEnd/>
          <a:tailEnd/>
        </a:ln>
      </xdr:spPr>
    </xdr:sp>
    <xdr:clientData/>
  </xdr:twoCellAnchor>
  <xdr:twoCellAnchor>
    <xdr:from>
      <xdr:col>8</xdr:col>
      <xdr:colOff>200025</xdr:colOff>
      <xdr:row>8</xdr:row>
      <xdr:rowOff>28575</xdr:rowOff>
    </xdr:from>
    <xdr:to>
      <xdr:col>9</xdr:col>
      <xdr:colOff>19050</xdr:colOff>
      <xdr:row>9</xdr:row>
      <xdr:rowOff>57150</xdr:rowOff>
    </xdr:to>
    <xdr:sp macro="" textlink="">
      <xdr:nvSpPr>
        <xdr:cNvPr id="27729" name="Line 187">
          <a:extLst>
            <a:ext uri="{FF2B5EF4-FFF2-40B4-BE49-F238E27FC236}">
              <a16:creationId xmlns:a16="http://schemas.microsoft.com/office/drawing/2014/main" id="{00000000-0008-0000-0100-0000516C0000}"/>
            </a:ext>
          </a:extLst>
        </xdr:cNvPr>
        <xdr:cNvSpPr>
          <a:spLocks noChangeShapeType="1"/>
        </xdr:cNvSpPr>
      </xdr:nvSpPr>
      <xdr:spPr bwMode="auto">
        <a:xfrm flipH="1">
          <a:off x="2695575" y="1504950"/>
          <a:ext cx="66675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66675</xdr:colOff>
      <xdr:row>82</xdr:row>
      <xdr:rowOff>142875</xdr:rowOff>
    </xdr:from>
    <xdr:to>
      <xdr:col>22</xdr:col>
      <xdr:colOff>228600</xdr:colOff>
      <xdr:row>87</xdr:row>
      <xdr:rowOff>47625</xdr:rowOff>
    </xdr:to>
    <xdr:grpSp>
      <xdr:nvGrpSpPr>
        <xdr:cNvPr id="27730" name="Group 244">
          <a:extLst>
            <a:ext uri="{FF2B5EF4-FFF2-40B4-BE49-F238E27FC236}">
              <a16:creationId xmlns:a16="http://schemas.microsoft.com/office/drawing/2014/main" id="{00000000-0008-0000-0100-0000526C0000}"/>
            </a:ext>
          </a:extLst>
        </xdr:cNvPr>
        <xdr:cNvGrpSpPr>
          <a:grpSpLocks/>
        </xdr:cNvGrpSpPr>
      </xdr:nvGrpSpPr>
      <xdr:grpSpPr bwMode="auto">
        <a:xfrm>
          <a:off x="4379595" y="14986635"/>
          <a:ext cx="1640205" cy="742950"/>
          <a:chOff x="446" y="1552"/>
          <a:chExt cx="174" cy="81"/>
        </a:xfrm>
      </xdr:grpSpPr>
      <xdr:grpSp>
        <xdr:nvGrpSpPr>
          <xdr:cNvPr id="27763" name="Group 230">
            <a:extLst>
              <a:ext uri="{FF2B5EF4-FFF2-40B4-BE49-F238E27FC236}">
                <a16:creationId xmlns:a16="http://schemas.microsoft.com/office/drawing/2014/main" id="{00000000-0008-0000-0100-0000736C0000}"/>
              </a:ext>
            </a:extLst>
          </xdr:cNvPr>
          <xdr:cNvGrpSpPr>
            <a:grpSpLocks/>
          </xdr:cNvGrpSpPr>
        </xdr:nvGrpSpPr>
        <xdr:grpSpPr bwMode="auto">
          <a:xfrm flipV="1">
            <a:off x="481" y="1560"/>
            <a:ext cx="101" cy="36"/>
            <a:chOff x="481" y="1560"/>
            <a:chExt cx="101" cy="36"/>
          </a:xfrm>
        </xdr:grpSpPr>
        <xdr:sp macro="" textlink="">
          <xdr:nvSpPr>
            <xdr:cNvPr id="27773" name="Line 227">
              <a:extLst>
                <a:ext uri="{FF2B5EF4-FFF2-40B4-BE49-F238E27FC236}">
                  <a16:creationId xmlns:a16="http://schemas.microsoft.com/office/drawing/2014/main" id="{00000000-0008-0000-0100-00007D6C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82" y="1560"/>
              <a:ext cx="0" cy="34"/>
            </a:xfrm>
            <a:prstGeom prst="line">
              <a:avLst/>
            </a:prstGeom>
            <a:noFill/>
            <a:ln w="28575">
              <a:noFill/>
              <a:round/>
              <a:headEnd/>
              <a:tailEnd/>
            </a:ln>
          </xdr:spPr>
        </xdr:sp>
        <xdr:sp macro="" textlink="">
          <xdr:nvSpPr>
            <xdr:cNvPr id="27774" name="Line 228">
              <a:extLst>
                <a:ext uri="{FF2B5EF4-FFF2-40B4-BE49-F238E27FC236}">
                  <a16:creationId xmlns:a16="http://schemas.microsoft.com/office/drawing/2014/main" id="{00000000-0008-0000-0100-00007E6C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481" y="1560"/>
              <a:ext cx="99" cy="0"/>
            </a:xfrm>
            <a:prstGeom prst="line">
              <a:avLst/>
            </a:prstGeom>
            <a:noFill/>
            <a:ln w="28575">
              <a:noFill/>
              <a:round/>
              <a:headEnd/>
              <a:tailEnd/>
            </a:ln>
          </xdr:spPr>
        </xdr:sp>
        <xdr:sp macro="" textlink="">
          <xdr:nvSpPr>
            <xdr:cNvPr id="27775" name="Line 229">
              <a:extLst>
                <a:ext uri="{FF2B5EF4-FFF2-40B4-BE49-F238E27FC236}">
                  <a16:creationId xmlns:a16="http://schemas.microsoft.com/office/drawing/2014/main" id="{00000000-0008-0000-0100-00007F6C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582" y="1562"/>
              <a:ext cx="0" cy="34"/>
            </a:xfrm>
            <a:prstGeom prst="line">
              <a:avLst/>
            </a:prstGeom>
            <a:noFill/>
            <a:ln w="28575">
              <a:noFill/>
              <a:round/>
              <a:headEnd/>
              <a:tailEnd/>
            </a:ln>
          </xdr:spPr>
        </xdr:sp>
      </xdr:grpSp>
      <xdr:sp macro="" textlink="">
        <xdr:nvSpPr>
          <xdr:cNvPr id="27764" name="Line 234">
            <a:extLst>
              <a:ext uri="{FF2B5EF4-FFF2-40B4-BE49-F238E27FC236}">
                <a16:creationId xmlns:a16="http://schemas.microsoft.com/office/drawing/2014/main" id="{00000000-0008-0000-0100-0000746C0000}"/>
              </a:ext>
            </a:extLst>
          </xdr:cNvPr>
          <xdr:cNvSpPr>
            <a:spLocks noChangeShapeType="1"/>
          </xdr:cNvSpPr>
        </xdr:nvSpPr>
        <xdr:spPr bwMode="auto">
          <a:xfrm>
            <a:off x="479" y="1609"/>
            <a:ext cx="0" cy="2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5" name="Line 235">
            <a:extLst>
              <a:ext uri="{FF2B5EF4-FFF2-40B4-BE49-F238E27FC236}">
                <a16:creationId xmlns:a16="http://schemas.microsoft.com/office/drawing/2014/main" id="{00000000-0008-0000-0100-0000756C0000}"/>
              </a:ext>
            </a:extLst>
          </xdr:cNvPr>
          <xdr:cNvSpPr>
            <a:spLocks noChangeShapeType="1"/>
          </xdr:cNvSpPr>
        </xdr:nvSpPr>
        <xdr:spPr bwMode="auto">
          <a:xfrm>
            <a:off x="583" y="1605"/>
            <a:ext cx="0" cy="28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6" name="Line 236">
            <a:extLst>
              <a:ext uri="{FF2B5EF4-FFF2-40B4-BE49-F238E27FC236}">
                <a16:creationId xmlns:a16="http://schemas.microsoft.com/office/drawing/2014/main" id="{00000000-0008-0000-0100-000076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46" y="1562"/>
            <a:ext cx="25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7" name="Line 237">
            <a:extLst>
              <a:ext uri="{FF2B5EF4-FFF2-40B4-BE49-F238E27FC236}">
                <a16:creationId xmlns:a16="http://schemas.microsoft.com/office/drawing/2014/main" id="{00000000-0008-0000-0100-000077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0" y="1598"/>
            <a:ext cx="23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8" name="Line 238">
            <a:extLst>
              <a:ext uri="{FF2B5EF4-FFF2-40B4-BE49-F238E27FC236}">
                <a16:creationId xmlns:a16="http://schemas.microsoft.com/office/drawing/2014/main" id="{00000000-0008-0000-0100-0000786C0000}"/>
              </a:ext>
            </a:extLst>
          </xdr:cNvPr>
          <xdr:cNvSpPr>
            <a:spLocks noChangeShapeType="1"/>
          </xdr:cNvSpPr>
        </xdr:nvSpPr>
        <xdr:spPr bwMode="auto">
          <a:xfrm>
            <a:off x="587" y="1561"/>
            <a:ext cx="33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9" name="Line 239">
            <a:extLst>
              <a:ext uri="{FF2B5EF4-FFF2-40B4-BE49-F238E27FC236}">
                <a16:creationId xmlns:a16="http://schemas.microsoft.com/office/drawing/2014/main" id="{00000000-0008-0000-0100-0000796C0000}"/>
              </a:ext>
            </a:extLst>
          </xdr:cNvPr>
          <xdr:cNvSpPr>
            <a:spLocks noChangeShapeType="1"/>
          </xdr:cNvSpPr>
        </xdr:nvSpPr>
        <xdr:spPr bwMode="auto">
          <a:xfrm>
            <a:off x="588" y="1596"/>
            <a:ext cx="31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70" name="Line 240">
            <a:extLst>
              <a:ext uri="{FF2B5EF4-FFF2-40B4-BE49-F238E27FC236}">
                <a16:creationId xmlns:a16="http://schemas.microsoft.com/office/drawing/2014/main" id="{00000000-0008-0000-0100-00007A6C0000}"/>
              </a:ext>
            </a:extLst>
          </xdr:cNvPr>
          <xdr:cNvSpPr>
            <a:spLocks noChangeShapeType="1"/>
          </xdr:cNvSpPr>
        </xdr:nvSpPr>
        <xdr:spPr bwMode="auto">
          <a:xfrm>
            <a:off x="460" y="1554"/>
            <a:ext cx="0" cy="47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71" name="Line 241">
            <a:extLst>
              <a:ext uri="{FF2B5EF4-FFF2-40B4-BE49-F238E27FC236}">
                <a16:creationId xmlns:a16="http://schemas.microsoft.com/office/drawing/2014/main" id="{00000000-0008-0000-0100-00007B6C0000}"/>
              </a:ext>
            </a:extLst>
          </xdr:cNvPr>
          <xdr:cNvSpPr>
            <a:spLocks noChangeShapeType="1"/>
          </xdr:cNvSpPr>
        </xdr:nvSpPr>
        <xdr:spPr bwMode="auto">
          <a:xfrm>
            <a:off x="473" y="1622"/>
            <a:ext cx="117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72" name="Line 242">
            <a:extLst>
              <a:ext uri="{FF2B5EF4-FFF2-40B4-BE49-F238E27FC236}">
                <a16:creationId xmlns:a16="http://schemas.microsoft.com/office/drawing/2014/main" id="{00000000-0008-0000-0100-00007C6C0000}"/>
              </a:ext>
            </a:extLst>
          </xdr:cNvPr>
          <xdr:cNvSpPr>
            <a:spLocks noChangeShapeType="1"/>
          </xdr:cNvSpPr>
        </xdr:nvSpPr>
        <xdr:spPr bwMode="auto">
          <a:xfrm>
            <a:off x="603" y="1552"/>
            <a:ext cx="0" cy="5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</xdr:grpSp>
    <xdr:clientData/>
  </xdr:twoCellAnchor>
  <xdr:twoCellAnchor>
    <xdr:from>
      <xdr:col>14</xdr:col>
      <xdr:colOff>47625</xdr:colOff>
      <xdr:row>70</xdr:row>
      <xdr:rowOff>38100</xdr:rowOff>
    </xdr:from>
    <xdr:to>
      <xdr:col>25</xdr:col>
      <xdr:colOff>57150</xdr:colOff>
      <xdr:row>81</xdr:row>
      <xdr:rowOff>95250</xdr:rowOff>
    </xdr:to>
    <xdr:grpSp>
      <xdr:nvGrpSpPr>
        <xdr:cNvPr id="27731" name="Group 250">
          <a:extLst>
            <a:ext uri="{FF2B5EF4-FFF2-40B4-BE49-F238E27FC236}">
              <a16:creationId xmlns:a16="http://schemas.microsoft.com/office/drawing/2014/main" id="{00000000-0008-0000-0100-0000536C0000}"/>
            </a:ext>
          </a:extLst>
        </xdr:cNvPr>
        <xdr:cNvGrpSpPr>
          <a:grpSpLocks/>
        </xdr:cNvGrpSpPr>
      </xdr:nvGrpSpPr>
      <xdr:grpSpPr bwMode="auto">
        <a:xfrm>
          <a:off x="3895725" y="12870180"/>
          <a:ext cx="2707005" cy="1901190"/>
          <a:chOff x="398" y="1344"/>
          <a:chExt cx="278" cy="193"/>
        </a:xfrm>
      </xdr:grpSpPr>
      <xdr:sp macro="" textlink="">
        <xdr:nvSpPr>
          <xdr:cNvPr id="27732" name="Line 204">
            <a:extLst>
              <a:ext uri="{FF2B5EF4-FFF2-40B4-BE49-F238E27FC236}">
                <a16:creationId xmlns:a16="http://schemas.microsoft.com/office/drawing/2014/main" id="{00000000-0008-0000-0100-000054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27" y="1419"/>
            <a:ext cx="0" cy="66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3" name="Line 205">
            <a:extLst>
              <a:ext uri="{FF2B5EF4-FFF2-40B4-BE49-F238E27FC236}">
                <a16:creationId xmlns:a16="http://schemas.microsoft.com/office/drawing/2014/main" id="{00000000-0008-0000-0100-0000556C0000}"/>
              </a:ext>
            </a:extLst>
          </xdr:cNvPr>
          <xdr:cNvSpPr>
            <a:spLocks noChangeShapeType="1"/>
          </xdr:cNvSpPr>
        </xdr:nvSpPr>
        <xdr:spPr bwMode="auto">
          <a:xfrm>
            <a:off x="426" y="1485"/>
            <a:ext cx="65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4" name="Line 206">
            <a:extLst>
              <a:ext uri="{FF2B5EF4-FFF2-40B4-BE49-F238E27FC236}">
                <a16:creationId xmlns:a16="http://schemas.microsoft.com/office/drawing/2014/main" id="{00000000-0008-0000-0100-0000566C0000}"/>
              </a:ext>
            </a:extLst>
          </xdr:cNvPr>
          <xdr:cNvSpPr>
            <a:spLocks noChangeShapeType="1"/>
          </xdr:cNvSpPr>
        </xdr:nvSpPr>
        <xdr:spPr bwMode="auto">
          <a:xfrm>
            <a:off x="426" y="1420"/>
            <a:ext cx="58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5" name="Line 207">
            <a:extLst>
              <a:ext uri="{FF2B5EF4-FFF2-40B4-BE49-F238E27FC236}">
                <a16:creationId xmlns:a16="http://schemas.microsoft.com/office/drawing/2014/main" id="{00000000-0008-0000-0100-000057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86" y="1385"/>
            <a:ext cx="0" cy="34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6" name="Line 208">
            <a:extLst>
              <a:ext uri="{FF2B5EF4-FFF2-40B4-BE49-F238E27FC236}">
                <a16:creationId xmlns:a16="http://schemas.microsoft.com/office/drawing/2014/main" id="{00000000-0008-0000-0100-0000586C0000}"/>
              </a:ext>
            </a:extLst>
          </xdr:cNvPr>
          <xdr:cNvSpPr>
            <a:spLocks noChangeShapeType="1"/>
          </xdr:cNvSpPr>
        </xdr:nvSpPr>
        <xdr:spPr bwMode="auto">
          <a:xfrm>
            <a:off x="485" y="1385"/>
            <a:ext cx="99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7" name="Line 209">
            <a:extLst>
              <a:ext uri="{FF2B5EF4-FFF2-40B4-BE49-F238E27FC236}">
                <a16:creationId xmlns:a16="http://schemas.microsoft.com/office/drawing/2014/main" id="{00000000-0008-0000-0100-000059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86" y="1387"/>
            <a:ext cx="0" cy="34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8" name="Line 210">
            <a:extLst>
              <a:ext uri="{FF2B5EF4-FFF2-40B4-BE49-F238E27FC236}">
                <a16:creationId xmlns:a16="http://schemas.microsoft.com/office/drawing/2014/main" id="{00000000-0008-0000-0100-00005A6C0000}"/>
              </a:ext>
            </a:extLst>
          </xdr:cNvPr>
          <xdr:cNvSpPr>
            <a:spLocks noChangeShapeType="1"/>
          </xdr:cNvSpPr>
        </xdr:nvSpPr>
        <xdr:spPr bwMode="auto">
          <a:xfrm>
            <a:off x="490" y="1485"/>
            <a:ext cx="0" cy="26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39" name="Line 211">
            <a:extLst>
              <a:ext uri="{FF2B5EF4-FFF2-40B4-BE49-F238E27FC236}">
                <a16:creationId xmlns:a16="http://schemas.microsoft.com/office/drawing/2014/main" id="{00000000-0008-0000-0100-00005B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01" y="1488"/>
            <a:ext cx="22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0" name="Line 212">
            <a:extLst>
              <a:ext uri="{FF2B5EF4-FFF2-40B4-BE49-F238E27FC236}">
                <a16:creationId xmlns:a16="http://schemas.microsoft.com/office/drawing/2014/main" id="{00000000-0008-0000-0100-00005C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00" y="1421"/>
            <a:ext cx="21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1" name="Line 213">
            <a:extLst>
              <a:ext uri="{FF2B5EF4-FFF2-40B4-BE49-F238E27FC236}">
                <a16:creationId xmlns:a16="http://schemas.microsoft.com/office/drawing/2014/main" id="{00000000-0008-0000-0100-00005D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98" y="1381"/>
            <a:ext cx="22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2" name="Line 214">
            <a:extLst>
              <a:ext uri="{FF2B5EF4-FFF2-40B4-BE49-F238E27FC236}">
                <a16:creationId xmlns:a16="http://schemas.microsoft.com/office/drawing/2014/main" id="{00000000-0008-0000-0100-00005E6C0000}"/>
              </a:ext>
            </a:extLst>
          </xdr:cNvPr>
          <xdr:cNvSpPr>
            <a:spLocks noChangeShapeType="1"/>
          </xdr:cNvSpPr>
        </xdr:nvSpPr>
        <xdr:spPr bwMode="auto">
          <a:xfrm>
            <a:off x="408" y="1376"/>
            <a:ext cx="0" cy="143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3" name="Line 215">
            <a:extLst>
              <a:ext uri="{FF2B5EF4-FFF2-40B4-BE49-F238E27FC236}">
                <a16:creationId xmlns:a16="http://schemas.microsoft.com/office/drawing/2014/main" id="{00000000-0008-0000-0100-00005F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27" y="1345"/>
            <a:ext cx="0" cy="22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4" name="Line 216">
            <a:extLst>
              <a:ext uri="{FF2B5EF4-FFF2-40B4-BE49-F238E27FC236}">
                <a16:creationId xmlns:a16="http://schemas.microsoft.com/office/drawing/2014/main" id="{00000000-0008-0000-0100-000060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84" y="1344"/>
            <a:ext cx="0" cy="2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5" name="Line 217">
            <a:extLst>
              <a:ext uri="{FF2B5EF4-FFF2-40B4-BE49-F238E27FC236}">
                <a16:creationId xmlns:a16="http://schemas.microsoft.com/office/drawing/2014/main" id="{00000000-0008-0000-0100-0000616C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86" y="1344"/>
            <a:ext cx="0" cy="26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6" name="Line 218">
            <a:extLst>
              <a:ext uri="{FF2B5EF4-FFF2-40B4-BE49-F238E27FC236}">
                <a16:creationId xmlns:a16="http://schemas.microsoft.com/office/drawing/2014/main" id="{00000000-0008-0000-0100-0000626C0000}"/>
              </a:ext>
            </a:extLst>
          </xdr:cNvPr>
          <xdr:cNvSpPr>
            <a:spLocks noChangeShapeType="1"/>
          </xdr:cNvSpPr>
        </xdr:nvSpPr>
        <xdr:spPr bwMode="auto">
          <a:xfrm>
            <a:off x="424" y="1356"/>
            <a:ext cx="222" cy="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7" name="Line 219">
            <a:extLst>
              <a:ext uri="{FF2B5EF4-FFF2-40B4-BE49-F238E27FC236}">
                <a16:creationId xmlns:a16="http://schemas.microsoft.com/office/drawing/2014/main" id="{00000000-0008-0000-0100-0000636C0000}"/>
              </a:ext>
            </a:extLst>
          </xdr:cNvPr>
          <xdr:cNvSpPr>
            <a:spLocks noChangeShapeType="1"/>
          </xdr:cNvSpPr>
        </xdr:nvSpPr>
        <xdr:spPr bwMode="auto">
          <a:xfrm>
            <a:off x="653" y="1375"/>
            <a:ext cx="21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8" name="Line 220">
            <a:extLst>
              <a:ext uri="{FF2B5EF4-FFF2-40B4-BE49-F238E27FC236}">
                <a16:creationId xmlns:a16="http://schemas.microsoft.com/office/drawing/2014/main" id="{00000000-0008-0000-0100-0000646C0000}"/>
              </a:ext>
            </a:extLst>
          </xdr:cNvPr>
          <xdr:cNvSpPr>
            <a:spLocks noChangeShapeType="1"/>
          </xdr:cNvSpPr>
        </xdr:nvSpPr>
        <xdr:spPr bwMode="auto">
          <a:xfrm>
            <a:off x="653" y="1418"/>
            <a:ext cx="22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49" name="Line 221">
            <a:extLst>
              <a:ext uri="{FF2B5EF4-FFF2-40B4-BE49-F238E27FC236}">
                <a16:creationId xmlns:a16="http://schemas.microsoft.com/office/drawing/2014/main" id="{00000000-0008-0000-0100-0000656C0000}"/>
              </a:ext>
            </a:extLst>
          </xdr:cNvPr>
          <xdr:cNvSpPr>
            <a:spLocks noChangeShapeType="1"/>
          </xdr:cNvSpPr>
        </xdr:nvSpPr>
        <xdr:spPr bwMode="auto">
          <a:xfrm>
            <a:off x="665" y="1370"/>
            <a:ext cx="0" cy="14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0" name="Line 222">
            <a:extLst>
              <a:ext uri="{FF2B5EF4-FFF2-40B4-BE49-F238E27FC236}">
                <a16:creationId xmlns:a16="http://schemas.microsoft.com/office/drawing/2014/main" id="{00000000-0008-0000-0100-0000666C0000}"/>
              </a:ext>
            </a:extLst>
          </xdr:cNvPr>
          <xdr:cNvSpPr>
            <a:spLocks noChangeShapeType="1"/>
          </xdr:cNvSpPr>
        </xdr:nvSpPr>
        <xdr:spPr bwMode="auto">
          <a:xfrm>
            <a:off x="403" y="1513"/>
            <a:ext cx="13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1" name="Line 223">
            <a:extLst>
              <a:ext uri="{FF2B5EF4-FFF2-40B4-BE49-F238E27FC236}">
                <a16:creationId xmlns:a16="http://schemas.microsoft.com/office/drawing/2014/main" id="{00000000-0008-0000-0100-0000676C0000}"/>
              </a:ext>
            </a:extLst>
          </xdr:cNvPr>
          <xdr:cNvSpPr>
            <a:spLocks noChangeShapeType="1"/>
          </xdr:cNvSpPr>
        </xdr:nvSpPr>
        <xdr:spPr bwMode="auto">
          <a:xfrm>
            <a:off x="586" y="1421"/>
            <a:ext cx="58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52" name="Line 224">
            <a:extLst>
              <a:ext uri="{FF2B5EF4-FFF2-40B4-BE49-F238E27FC236}">
                <a16:creationId xmlns:a16="http://schemas.microsoft.com/office/drawing/2014/main" id="{00000000-0008-0000-0100-0000686C0000}"/>
              </a:ext>
            </a:extLst>
          </xdr:cNvPr>
          <xdr:cNvSpPr>
            <a:spLocks noChangeShapeType="1"/>
          </xdr:cNvSpPr>
        </xdr:nvSpPr>
        <xdr:spPr bwMode="auto">
          <a:xfrm>
            <a:off x="645" y="1423"/>
            <a:ext cx="1" cy="59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53" name="Line 225">
            <a:extLst>
              <a:ext uri="{FF2B5EF4-FFF2-40B4-BE49-F238E27FC236}">
                <a16:creationId xmlns:a16="http://schemas.microsoft.com/office/drawing/2014/main" id="{00000000-0008-0000-0100-0000696C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80" y="1483"/>
            <a:ext cx="65" cy="0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54" name="Line 226">
            <a:extLst>
              <a:ext uri="{FF2B5EF4-FFF2-40B4-BE49-F238E27FC236}">
                <a16:creationId xmlns:a16="http://schemas.microsoft.com/office/drawing/2014/main" id="{00000000-0008-0000-0100-00006A6C0000}"/>
              </a:ext>
            </a:extLst>
          </xdr:cNvPr>
          <xdr:cNvSpPr>
            <a:spLocks noChangeShapeType="1"/>
          </xdr:cNvSpPr>
        </xdr:nvSpPr>
        <xdr:spPr bwMode="auto">
          <a:xfrm>
            <a:off x="580" y="1484"/>
            <a:ext cx="0" cy="25"/>
          </a:xfrm>
          <a:prstGeom prst="line">
            <a:avLst/>
          </a:prstGeom>
          <a:noFill/>
          <a:ln w="28575">
            <a:noFill/>
            <a:round/>
            <a:headEnd/>
            <a:tailEnd/>
          </a:ln>
        </xdr:spPr>
      </xdr:sp>
      <xdr:sp macro="" textlink="">
        <xdr:nvSpPr>
          <xdr:cNvPr id="27755" name="Line 231">
            <a:extLst>
              <a:ext uri="{FF2B5EF4-FFF2-40B4-BE49-F238E27FC236}">
                <a16:creationId xmlns:a16="http://schemas.microsoft.com/office/drawing/2014/main" id="{00000000-0008-0000-0100-00006B6C0000}"/>
              </a:ext>
            </a:extLst>
          </xdr:cNvPr>
          <xdr:cNvSpPr>
            <a:spLocks noChangeShapeType="1"/>
          </xdr:cNvSpPr>
        </xdr:nvSpPr>
        <xdr:spPr bwMode="auto">
          <a:xfrm>
            <a:off x="643" y="1349"/>
            <a:ext cx="0" cy="21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6" name="Line 232">
            <a:extLst>
              <a:ext uri="{FF2B5EF4-FFF2-40B4-BE49-F238E27FC236}">
                <a16:creationId xmlns:a16="http://schemas.microsoft.com/office/drawing/2014/main" id="{00000000-0008-0000-0100-00006C6C0000}"/>
              </a:ext>
            </a:extLst>
          </xdr:cNvPr>
          <xdr:cNvSpPr>
            <a:spLocks noChangeShapeType="1"/>
          </xdr:cNvSpPr>
        </xdr:nvSpPr>
        <xdr:spPr bwMode="auto">
          <a:xfrm>
            <a:off x="658" y="1480"/>
            <a:ext cx="16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7" name="Line 233">
            <a:extLst>
              <a:ext uri="{FF2B5EF4-FFF2-40B4-BE49-F238E27FC236}">
                <a16:creationId xmlns:a16="http://schemas.microsoft.com/office/drawing/2014/main" id="{00000000-0008-0000-0100-00006D6C0000}"/>
              </a:ext>
            </a:extLst>
          </xdr:cNvPr>
          <xdr:cNvSpPr>
            <a:spLocks noChangeShapeType="1"/>
          </xdr:cNvSpPr>
        </xdr:nvSpPr>
        <xdr:spPr bwMode="auto">
          <a:xfrm>
            <a:off x="656" y="1505"/>
            <a:ext cx="20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8" name="Line 245">
            <a:extLst>
              <a:ext uri="{FF2B5EF4-FFF2-40B4-BE49-F238E27FC236}">
                <a16:creationId xmlns:a16="http://schemas.microsoft.com/office/drawing/2014/main" id="{00000000-0008-0000-0100-00006E6C0000}"/>
              </a:ext>
            </a:extLst>
          </xdr:cNvPr>
          <xdr:cNvSpPr>
            <a:spLocks noChangeShapeType="1"/>
          </xdr:cNvSpPr>
        </xdr:nvSpPr>
        <xdr:spPr bwMode="auto">
          <a:xfrm>
            <a:off x="429" y="1512"/>
            <a:ext cx="0" cy="18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59" name="Line 246">
            <a:extLst>
              <a:ext uri="{FF2B5EF4-FFF2-40B4-BE49-F238E27FC236}">
                <a16:creationId xmlns:a16="http://schemas.microsoft.com/office/drawing/2014/main" id="{00000000-0008-0000-0100-00006F6C0000}"/>
              </a:ext>
            </a:extLst>
          </xdr:cNvPr>
          <xdr:cNvSpPr>
            <a:spLocks noChangeShapeType="1"/>
          </xdr:cNvSpPr>
        </xdr:nvSpPr>
        <xdr:spPr bwMode="auto">
          <a:xfrm>
            <a:off x="489" y="1517"/>
            <a:ext cx="0" cy="18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0" name="Line 247">
            <a:extLst>
              <a:ext uri="{FF2B5EF4-FFF2-40B4-BE49-F238E27FC236}">
                <a16:creationId xmlns:a16="http://schemas.microsoft.com/office/drawing/2014/main" id="{00000000-0008-0000-0100-0000706C0000}"/>
              </a:ext>
            </a:extLst>
          </xdr:cNvPr>
          <xdr:cNvSpPr>
            <a:spLocks noChangeShapeType="1"/>
          </xdr:cNvSpPr>
        </xdr:nvSpPr>
        <xdr:spPr bwMode="auto">
          <a:xfrm>
            <a:off x="580" y="1514"/>
            <a:ext cx="0" cy="19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1" name="Line 248">
            <a:extLst>
              <a:ext uri="{FF2B5EF4-FFF2-40B4-BE49-F238E27FC236}">
                <a16:creationId xmlns:a16="http://schemas.microsoft.com/office/drawing/2014/main" id="{00000000-0008-0000-0100-0000716C0000}"/>
              </a:ext>
            </a:extLst>
          </xdr:cNvPr>
          <xdr:cNvSpPr>
            <a:spLocks noChangeShapeType="1"/>
          </xdr:cNvSpPr>
        </xdr:nvSpPr>
        <xdr:spPr bwMode="auto">
          <a:xfrm>
            <a:off x="644" y="1510"/>
            <a:ext cx="0" cy="27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  <xdr:sp macro="" textlink="">
        <xdr:nvSpPr>
          <xdr:cNvPr id="27762" name="Line 249">
            <a:extLst>
              <a:ext uri="{FF2B5EF4-FFF2-40B4-BE49-F238E27FC236}">
                <a16:creationId xmlns:a16="http://schemas.microsoft.com/office/drawing/2014/main" id="{00000000-0008-0000-0100-0000726C0000}"/>
              </a:ext>
            </a:extLst>
          </xdr:cNvPr>
          <xdr:cNvSpPr>
            <a:spLocks noChangeShapeType="1"/>
          </xdr:cNvSpPr>
        </xdr:nvSpPr>
        <xdr:spPr bwMode="auto">
          <a:xfrm>
            <a:off x="422" y="1527"/>
            <a:ext cx="227" cy="0"/>
          </a:xfrm>
          <a:prstGeom prst="line">
            <a:avLst/>
          </a:prstGeom>
          <a:noFill/>
          <a:ln w="9525">
            <a:noFill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66675</xdr:rowOff>
    </xdr:from>
    <xdr:to>
      <xdr:col>19</xdr:col>
      <xdr:colOff>219075</xdr:colOff>
      <xdr:row>80</xdr:row>
      <xdr:rowOff>47625</xdr:rowOff>
    </xdr:to>
    <xdr:grpSp>
      <xdr:nvGrpSpPr>
        <xdr:cNvPr id="26870" name="Group 68">
          <a:extLst>
            <a:ext uri="{FF2B5EF4-FFF2-40B4-BE49-F238E27FC236}">
              <a16:creationId xmlns:a16="http://schemas.microsoft.com/office/drawing/2014/main" id="{00000000-0008-0000-0200-0000F6680000}"/>
            </a:ext>
          </a:extLst>
        </xdr:cNvPr>
        <xdr:cNvGrpSpPr>
          <a:grpSpLocks/>
        </xdr:cNvGrpSpPr>
      </xdr:nvGrpSpPr>
      <xdr:grpSpPr bwMode="auto">
        <a:xfrm>
          <a:off x="209550" y="238125"/>
          <a:ext cx="6429375" cy="13525500"/>
          <a:chOff x="108857" y="239858"/>
          <a:chExt cx="5975886" cy="12790342"/>
        </a:xfrm>
      </xdr:grpSpPr>
      <xdr:grpSp>
        <xdr:nvGrpSpPr>
          <xdr:cNvPr id="26943" name="Group 22">
            <a:extLst>
              <a:ext uri="{FF2B5EF4-FFF2-40B4-BE49-F238E27FC236}">
                <a16:creationId xmlns:a16="http://schemas.microsoft.com/office/drawing/2014/main" id="{00000000-0008-0000-0200-00003F690000}"/>
              </a:ext>
            </a:extLst>
          </xdr:cNvPr>
          <xdr:cNvGrpSpPr>
            <a:grpSpLocks/>
          </xdr:cNvGrpSpPr>
        </xdr:nvGrpSpPr>
        <xdr:grpSpPr bwMode="auto">
          <a:xfrm>
            <a:off x="1600205" y="688310"/>
            <a:ext cx="4314838" cy="702339"/>
            <a:chOff x="1225185" y="809625"/>
            <a:chExt cx="6138487" cy="990719"/>
          </a:xfrm>
        </xdr:grpSpPr>
        <xdr:cxnSp macro="">
          <xdr:nvCxnSpPr>
            <xdr:cNvPr id="60" name="Straight Connector 59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CxnSpPr/>
          </xdr:nvCxnSpPr>
          <xdr:spPr>
            <a:xfrm>
              <a:off x="1219182" y="806568"/>
              <a:ext cx="62301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" name="Straight Connector 60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CxnSpPr/>
          </xdr:nvCxnSpPr>
          <xdr:spPr>
            <a:xfrm>
              <a:off x="1842198" y="806568"/>
              <a:ext cx="623016" cy="48219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Straight Connector 61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CxnSpPr/>
          </xdr:nvCxnSpPr>
          <xdr:spPr>
            <a:xfrm flipV="1">
              <a:off x="2465214" y="1288761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" name="Straight Connector 62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CxnSpPr/>
          </xdr:nvCxnSpPr>
          <xdr:spPr>
            <a:xfrm rot="16200000" flipH="1">
              <a:off x="3411948" y="1523161"/>
              <a:ext cx="468799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Straight Connector 63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CxnSpPr/>
          </xdr:nvCxnSpPr>
          <xdr:spPr>
            <a:xfrm>
              <a:off x="3698266" y="1797742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" name="Straight Connector 14">
              <a:extLst>
                <a:ext uri="{FF2B5EF4-FFF2-40B4-BE49-F238E27FC236}">
                  <a16:creationId xmlns:a16="http://schemas.microsoft.com/office/drawing/2014/main" id="{00000000-0008-0000-0200-000041000000}"/>
                </a:ext>
              </a:extLst>
            </xdr:cNvPr>
            <xdr:cNvCxnSpPr/>
          </xdr:nvCxnSpPr>
          <xdr:spPr>
            <a:xfrm rot="5400000" flipH="1" flipV="1">
              <a:off x="4689807" y="1543252"/>
              <a:ext cx="50898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" name="Straight Connector 65">
              <a:extLst>
                <a:ext uri="{FF2B5EF4-FFF2-40B4-BE49-F238E27FC236}">
                  <a16:creationId xmlns:a16="http://schemas.microsoft.com/office/drawing/2014/main" id="{00000000-0008-0000-0200-000042000000}"/>
                </a:ext>
              </a:extLst>
            </xdr:cNvPr>
            <xdr:cNvCxnSpPr/>
          </xdr:nvCxnSpPr>
          <xdr:spPr>
            <a:xfrm>
              <a:off x="4944298" y="1288761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" name="Straight Connector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CxnSpPr/>
          </xdr:nvCxnSpPr>
          <xdr:spPr>
            <a:xfrm flipV="1">
              <a:off x="6125432" y="846751"/>
              <a:ext cx="610036" cy="44201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" name="Straight Connector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CxnSpPr/>
          </xdr:nvCxnSpPr>
          <xdr:spPr>
            <a:xfrm>
              <a:off x="6735468" y="806568"/>
              <a:ext cx="62301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 bwMode="auto">
          <a:xfrm rot="5400000">
            <a:off x="-4200043" y="6427059"/>
            <a:ext cx="11546441" cy="4561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 bwMode="auto">
          <a:xfrm rot="5400000">
            <a:off x="115368" y="6455545"/>
            <a:ext cx="11546441" cy="4561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CxnSpPr/>
        </xdr:nvCxnSpPr>
        <xdr:spPr bwMode="auto">
          <a:xfrm>
            <a:off x="1550368" y="12223089"/>
            <a:ext cx="431541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 bwMode="auto">
          <a:xfrm>
            <a:off x="2334989" y="2822615"/>
            <a:ext cx="218964" cy="959038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/>
        </xdr:nvSpPr>
        <xdr:spPr bwMode="auto">
          <a:xfrm>
            <a:off x="2426223" y="5956106"/>
            <a:ext cx="209840" cy="949543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/>
        </xdr:nvSpPr>
        <xdr:spPr bwMode="auto">
          <a:xfrm>
            <a:off x="2462717" y="9554873"/>
            <a:ext cx="218964" cy="949543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/>
        </xdr:nvCxnSpPr>
        <xdr:spPr>
          <a:xfrm rot="10800000">
            <a:off x="108857" y="676648"/>
            <a:ext cx="1359400" cy="949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/>
        </xdr:nvCxnSpPr>
        <xdr:spPr>
          <a:xfrm rot="10800000">
            <a:off x="108857" y="12232584"/>
            <a:ext cx="1386770" cy="949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CxnSpPr/>
        </xdr:nvCxnSpPr>
        <xdr:spPr>
          <a:xfrm rot="5400000" flipH="1" flipV="1">
            <a:off x="1519651" y="515225"/>
            <a:ext cx="17091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 rot="16200000" flipV="1">
            <a:off x="2349987" y="501168"/>
            <a:ext cx="398808" cy="91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/>
        </xdr:nvCxnSpPr>
        <xdr:spPr>
          <a:xfrm rot="5400000" flipH="1" flipV="1">
            <a:off x="3187390" y="458253"/>
            <a:ext cx="26587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 rot="16200000" flipV="1">
            <a:off x="1937471" y="439262"/>
            <a:ext cx="26587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CxnSpPr/>
        </xdr:nvCxnSpPr>
        <xdr:spPr>
          <a:xfrm rot="16200000" flipH="1">
            <a:off x="-2754846" y="3696194"/>
            <a:ext cx="6001111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 rot="5400000">
            <a:off x="-1645741" y="10248039"/>
            <a:ext cx="3874135" cy="0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CxnSpPr/>
        </xdr:nvCxnSpPr>
        <xdr:spPr>
          <a:xfrm rot="5400000">
            <a:off x="1230783" y="12674122"/>
            <a:ext cx="71215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 rot="5400000">
            <a:off x="5607915" y="12678869"/>
            <a:ext cx="58871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CxnSpPr/>
        </xdr:nvCxnSpPr>
        <xdr:spPr>
          <a:xfrm flipV="1">
            <a:off x="1614233" y="12830796"/>
            <a:ext cx="4288040" cy="37982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/>
        </xdr:nvCxnSpPr>
        <xdr:spPr>
          <a:xfrm rot="10800000" flipV="1">
            <a:off x="3858611" y="1018483"/>
            <a:ext cx="30107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CxnSpPr/>
        </xdr:nvCxnSpPr>
        <xdr:spPr>
          <a:xfrm rot="5400000" flipH="1" flipV="1">
            <a:off x="3856479" y="824012"/>
            <a:ext cx="341835" cy="9123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CxnSpPr/>
        </xdr:nvCxnSpPr>
        <xdr:spPr>
          <a:xfrm rot="5400000">
            <a:off x="3866531" y="1516994"/>
            <a:ext cx="294358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CxnSpPr/>
        </xdr:nvCxnSpPr>
        <xdr:spPr>
          <a:xfrm rot="5400000">
            <a:off x="5810206" y="472496"/>
            <a:ext cx="27536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CxnSpPr/>
        </xdr:nvCxnSpPr>
        <xdr:spPr>
          <a:xfrm rot="16200000" flipH="1">
            <a:off x="5386523" y="401280"/>
            <a:ext cx="246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CxnSpPr/>
        </xdr:nvCxnSpPr>
        <xdr:spPr>
          <a:xfrm rot="16200000" flipH="1">
            <a:off x="4789218" y="467934"/>
            <a:ext cx="465276" cy="91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CxnSpPr/>
        </xdr:nvCxnSpPr>
        <xdr:spPr>
          <a:xfrm rot="5400000">
            <a:off x="4088197" y="477430"/>
            <a:ext cx="389313" cy="91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CxnSpPr/>
        </xdr:nvCxnSpPr>
        <xdr:spPr>
          <a:xfrm flipV="1">
            <a:off x="1541245" y="505730"/>
            <a:ext cx="4543498" cy="189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CxnSpPr/>
        </xdr:nvCxnSpPr>
        <xdr:spPr>
          <a:xfrm rot="10800000">
            <a:off x="1167182" y="2870092"/>
            <a:ext cx="102183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 rot="5400000">
            <a:off x="252744" y="1773555"/>
            <a:ext cx="2202939" cy="9123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CxnSpPr/>
        </xdr:nvCxnSpPr>
        <xdr:spPr>
          <a:xfrm rot="5400000">
            <a:off x="2002649" y="4294406"/>
            <a:ext cx="66468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1568615" y="4427342"/>
            <a:ext cx="802867" cy="18991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 rot="10800000">
            <a:off x="984712" y="10494921"/>
            <a:ext cx="133203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rot="5400000">
            <a:off x="379904" y="11354814"/>
            <a:ext cx="1766150" cy="2737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rot="10800000" flipV="1">
            <a:off x="701884" y="6449868"/>
            <a:ext cx="2162267" cy="37982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 rot="16200000" flipH="1">
            <a:off x="-566401" y="10817951"/>
            <a:ext cx="2801151" cy="9123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 rot="5400000">
            <a:off x="-192075" y="7565766"/>
            <a:ext cx="2088994" cy="9123"/>
          </a:xfrm>
          <a:prstGeom prst="straightConnector1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>
            <a:off x="2599570" y="2851101"/>
            <a:ext cx="29195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>
            <a:off x="2590446" y="3791148"/>
            <a:ext cx="25545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 rot="5400000">
            <a:off x="2266398" y="3321125"/>
            <a:ext cx="940047" cy="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 rot="5400000" flipH="1" flipV="1">
            <a:off x="2235286" y="2684931"/>
            <a:ext cx="19940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/>
        </xdr:nvCxnSpPr>
        <xdr:spPr>
          <a:xfrm rot="5400000" flipH="1" flipV="1">
            <a:off x="2435631" y="2675436"/>
            <a:ext cx="21839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>
            <a:off x="2271124" y="2670688"/>
            <a:ext cx="5656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0</xdr:colOff>
      <xdr:row>4</xdr:row>
      <xdr:rowOff>28575</xdr:rowOff>
    </xdr:from>
    <xdr:to>
      <xdr:col>20</xdr:col>
      <xdr:colOff>180975</xdr:colOff>
      <xdr:row>4</xdr:row>
      <xdr:rowOff>38100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5972175" y="676275"/>
          <a:ext cx="4953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</xdr:row>
      <xdr:rowOff>57150</xdr:rowOff>
    </xdr:from>
    <xdr:to>
      <xdr:col>20</xdr:col>
      <xdr:colOff>219075</xdr:colOff>
      <xdr:row>6</xdr:row>
      <xdr:rowOff>66675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 flipV="1">
          <a:off x="5172075" y="1028700"/>
          <a:ext cx="13335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276226</xdr:colOff>
      <xdr:row>3</xdr:row>
      <xdr:rowOff>85724</xdr:rowOff>
    </xdr:from>
    <xdr:to>
      <xdr:col>19</xdr:col>
      <xdr:colOff>276226</xdr:colOff>
      <xdr:row>7</xdr:row>
      <xdr:rowOff>38099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rot="5400000">
          <a:off x="5948363" y="871537"/>
          <a:ext cx="6000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161925</xdr:colOff>
      <xdr:row>1</xdr:row>
      <xdr:rowOff>133350</xdr:rowOff>
    </xdr:from>
    <xdr:to>
      <xdr:col>42</xdr:col>
      <xdr:colOff>85725</xdr:colOff>
      <xdr:row>78</xdr:row>
      <xdr:rowOff>95250</xdr:rowOff>
    </xdr:to>
    <xdr:grpSp>
      <xdr:nvGrpSpPr>
        <xdr:cNvPr id="26874" name="Group 128">
          <a:extLst>
            <a:ext uri="{FF2B5EF4-FFF2-40B4-BE49-F238E27FC236}">
              <a16:creationId xmlns:a16="http://schemas.microsoft.com/office/drawing/2014/main" id="{00000000-0008-0000-0200-0000FA680000}"/>
            </a:ext>
          </a:extLst>
        </xdr:cNvPr>
        <xdr:cNvGrpSpPr>
          <a:grpSpLocks/>
        </xdr:cNvGrpSpPr>
      </xdr:nvGrpSpPr>
      <xdr:grpSpPr bwMode="auto">
        <a:xfrm>
          <a:off x="7553325" y="304800"/>
          <a:ext cx="6762750" cy="13163550"/>
          <a:chOff x="7400925" y="292100"/>
          <a:chExt cx="6654412" cy="12280900"/>
        </a:xfrm>
      </xdr:grpSpPr>
      <xdr:grpSp>
        <xdr:nvGrpSpPr>
          <xdr:cNvPr id="26892" name="Group 22">
            <a:extLst>
              <a:ext uri="{FF2B5EF4-FFF2-40B4-BE49-F238E27FC236}">
                <a16:creationId xmlns:a16="http://schemas.microsoft.com/office/drawing/2014/main" id="{00000000-0008-0000-0200-00000C690000}"/>
              </a:ext>
            </a:extLst>
          </xdr:cNvPr>
          <xdr:cNvGrpSpPr>
            <a:grpSpLocks/>
          </xdr:cNvGrpSpPr>
        </xdr:nvGrpSpPr>
        <xdr:grpSpPr bwMode="auto">
          <a:xfrm>
            <a:off x="9314457" y="719561"/>
            <a:ext cx="4543191" cy="665209"/>
            <a:chOff x="1225185" y="809625"/>
            <a:chExt cx="6138487" cy="990719"/>
          </a:xfrm>
        </xdr:grpSpPr>
        <xdr:cxnSp macro="">
          <xdr:nvCxnSpPr>
            <xdr:cNvPr id="112" name="Straight Connector 111">
              <a:extLst>
                <a:ext uri="{FF2B5EF4-FFF2-40B4-BE49-F238E27FC236}">
                  <a16:creationId xmlns:a16="http://schemas.microsoft.com/office/drawing/2014/main" id="{00000000-0008-0000-0200-000070000000}"/>
                </a:ext>
              </a:extLst>
            </xdr:cNvPr>
            <xdr:cNvCxnSpPr/>
          </xdr:nvCxnSpPr>
          <xdr:spPr>
            <a:xfrm>
              <a:off x="1223518" y="814760"/>
              <a:ext cx="63942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3" name="Straight Connector 112">
              <a:extLst>
                <a:ext uri="{FF2B5EF4-FFF2-40B4-BE49-F238E27FC236}">
                  <a16:creationId xmlns:a16="http://schemas.microsoft.com/office/drawing/2014/main" id="{00000000-0008-0000-0200-000071000000}"/>
                </a:ext>
              </a:extLst>
            </xdr:cNvPr>
            <xdr:cNvCxnSpPr/>
          </xdr:nvCxnSpPr>
          <xdr:spPr>
            <a:xfrm>
              <a:off x="1862939" y="814760"/>
              <a:ext cx="613322" cy="488301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4" name="Straight Connector 113">
              <a:extLst>
                <a:ext uri="{FF2B5EF4-FFF2-40B4-BE49-F238E27FC236}">
                  <a16:creationId xmlns:a16="http://schemas.microsoft.com/office/drawing/2014/main" id="{00000000-0008-0000-0200-000072000000}"/>
                </a:ext>
              </a:extLst>
            </xdr:cNvPr>
            <xdr:cNvCxnSpPr/>
          </xdr:nvCxnSpPr>
          <xdr:spPr>
            <a:xfrm flipV="1">
              <a:off x="2476261" y="1303061"/>
              <a:ext cx="117444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5" name="Straight Connector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CxnSpPr/>
          </xdr:nvCxnSpPr>
          <xdr:spPr>
            <a:xfrm rot="16200000" flipH="1">
              <a:off x="3420508" y="1533261"/>
              <a:ext cx="460398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/>
          </xdr:nvCxnSpPr>
          <xdr:spPr>
            <a:xfrm>
              <a:off x="3702905" y="1805314"/>
              <a:ext cx="118749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4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 rot="5400000" flipH="1" flipV="1">
              <a:off x="4704522" y="1554188"/>
              <a:ext cx="50225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4955649" y="1303061"/>
              <a:ext cx="118749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9" name="Straight Connector 118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CxnSpPr/>
          </xdr:nvCxnSpPr>
          <xdr:spPr>
            <a:xfrm flipV="1">
              <a:off x="6143145" y="856615"/>
              <a:ext cx="600273" cy="44644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0" name="Straight Connector 119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CxnSpPr/>
          </xdr:nvCxnSpPr>
          <xdr:spPr>
            <a:xfrm>
              <a:off x="6743418" y="814760"/>
              <a:ext cx="62637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CxnSpPr/>
        </xdr:nvCxnSpPr>
        <xdr:spPr bwMode="auto">
          <a:xfrm rot="5400000">
            <a:off x="3733666" y="6225592"/>
            <a:ext cx="11081850" cy="5794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CxnSpPr/>
        </xdr:nvCxnSpPr>
        <xdr:spPr bwMode="auto">
          <a:xfrm rot="5400000">
            <a:off x="8277789" y="6258524"/>
            <a:ext cx="11081850" cy="4829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CxnSpPr/>
        </xdr:nvCxnSpPr>
        <xdr:spPr bwMode="auto">
          <a:xfrm>
            <a:off x="9245617" y="11795491"/>
            <a:ext cx="4548952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/>
        </xdr:nvSpPr>
        <xdr:spPr bwMode="auto">
          <a:xfrm>
            <a:off x="10047237" y="5893914"/>
            <a:ext cx="338033" cy="665098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78" name="Straight Connector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CxnSpPr/>
        </xdr:nvCxnSpPr>
        <xdr:spPr bwMode="auto">
          <a:xfrm rot="10800000">
            <a:off x="7400925" y="713641"/>
            <a:ext cx="174811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CxnSpPr/>
        </xdr:nvCxnSpPr>
        <xdr:spPr bwMode="auto">
          <a:xfrm rot="10800000">
            <a:off x="7400925" y="11804858"/>
            <a:ext cx="179640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CxnSpPr/>
        </xdr:nvCxnSpPr>
        <xdr:spPr bwMode="auto">
          <a:xfrm rot="5400000" flipH="1" flipV="1">
            <a:off x="9223940" y="559077"/>
            <a:ext cx="15924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Connector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CxnSpPr/>
        </xdr:nvCxnSpPr>
        <xdr:spPr bwMode="auto">
          <a:xfrm rot="16200000" flipV="1">
            <a:off x="10096799" y="540195"/>
            <a:ext cx="393438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CxnSpPr/>
        </xdr:nvCxnSpPr>
        <xdr:spPr bwMode="auto">
          <a:xfrm rot="5400000" flipH="1" flipV="1">
            <a:off x="11002478" y="502871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Straight Connector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CxnSpPr/>
        </xdr:nvCxnSpPr>
        <xdr:spPr bwMode="auto">
          <a:xfrm rot="16200000" flipV="1">
            <a:off x="9645665" y="479452"/>
            <a:ext cx="26229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CxnSpPr/>
        </xdr:nvCxnSpPr>
        <xdr:spPr bwMode="auto">
          <a:xfrm rot="16200000" flipH="1">
            <a:off x="4669948" y="3608224"/>
            <a:ext cx="5751695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 bwMode="auto">
          <a:xfrm rot="5400000">
            <a:off x="5739305" y="9903239"/>
            <a:ext cx="3709562" cy="0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 bwMode="auto">
          <a:xfrm rot="5400000">
            <a:off x="8951990" y="12231084"/>
            <a:ext cx="6838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CxnSpPr/>
        </xdr:nvCxnSpPr>
        <xdr:spPr bwMode="auto">
          <a:xfrm rot="5400000">
            <a:off x="13552174" y="12235767"/>
            <a:ext cx="56205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CxnSpPr/>
        </xdr:nvCxnSpPr>
        <xdr:spPr bwMode="auto">
          <a:xfrm flipV="1">
            <a:off x="9313223" y="12385648"/>
            <a:ext cx="4519978" cy="28103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CxnSpPr/>
        </xdr:nvCxnSpPr>
        <xdr:spPr bwMode="auto">
          <a:xfrm rot="10800000" flipV="1">
            <a:off x="11689109" y="1041507"/>
            <a:ext cx="30905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Straight Connector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CxnSpPr/>
        </xdr:nvCxnSpPr>
        <xdr:spPr bwMode="auto">
          <a:xfrm rot="5400000" flipH="1" flipV="1">
            <a:off x="11708535" y="849325"/>
            <a:ext cx="318498" cy="9658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Straight Connector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CxnSpPr/>
        </xdr:nvCxnSpPr>
        <xdr:spPr bwMode="auto">
          <a:xfrm rot="5400000">
            <a:off x="11717466" y="1514570"/>
            <a:ext cx="271660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Straight Connector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CxnSpPr/>
        </xdr:nvCxnSpPr>
        <xdr:spPr bwMode="auto">
          <a:xfrm rot="5400000">
            <a:off x="13745371" y="512239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CxnSpPr/>
        </xdr:nvCxnSpPr>
        <xdr:spPr bwMode="auto">
          <a:xfrm rot="16200000" flipH="1">
            <a:off x="13291441" y="446666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CxnSpPr/>
        </xdr:nvCxnSpPr>
        <xdr:spPr bwMode="auto">
          <a:xfrm rot="16200000" flipH="1">
            <a:off x="12686034" y="512092"/>
            <a:ext cx="449644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CxnSpPr/>
        </xdr:nvCxnSpPr>
        <xdr:spPr bwMode="auto">
          <a:xfrm rot="5400000">
            <a:off x="11936516" y="516777"/>
            <a:ext cx="384071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Straight Connector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CxnSpPr/>
        </xdr:nvCxnSpPr>
        <xdr:spPr bwMode="auto">
          <a:xfrm flipV="1">
            <a:off x="9245617" y="554392"/>
            <a:ext cx="4809720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CxnSpPr/>
        </xdr:nvCxnSpPr>
        <xdr:spPr bwMode="auto">
          <a:xfrm rot="10800000" flipV="1">
            <a:off x="8076990" y="6249882"/>
            <a:ext cx="2549731" cy="37470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CxnSpPr/>
        </xdr:nvCxnSpPr>
        <xdr:spPr bwMode="auto">
          <a:xfrm rot="16200000" flipH="1">
            <a:off x="6867810" y="10451097"/>
            <a:ext cx="2679128" cy="9658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Straight Arrow Connector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CxnSpPr/>
        </xdr:nvCxnSpPr>
        <xdr:spPr bwMode="auto">
          <a:xfrm rot="5400000">
            <a:off x="7224359" y="7322325"/>
            <a:ext cx="2004663" cy="9658"/>
          </a:xfrm>
          <a:prstGeom prst="straightConnector1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CxnSpPr/>
        </xdr:nvCxnSpPr>
        <xdr:spPr>
          <a:xfrm rot="10800000">
            <a:off x="8637158" y="1125815"/>
            <a:ext cx="141007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CxnSpPr/>
        </xdr:nvCxnSpPr>
        <xdr:spPr>
          <a:xfrm rot="5400000">
            <a:off x="8562436" y="938463"/>
            <a:ext cx="78687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 bwMode="auto">
          <a:xfrm>
            <a:off x="9912024" y="6071898"/>
            <a:ext cx="125555" cy="346601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 bwMode="auto">
          <a:xfrm rot="16200000" flipH="1">
            <a:off x="9369068" y="6502662"/>
            <a:ext cx="1733003" cy="9658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Straight Connector 129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CxnSpPr/>
        </xdr:nvCxnSpPr>
        <xdr:spPr bwMode="auto">
          <a:xfrm>
            <a:off x="9255275" y="7205376"/>
            <a:ext cx="994781" cy="9368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Straight Connector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CxnSpPr/>
        </xdr:nvCxnSpPr>
        <xdr:spPr bwMode="auto">
          <a:xfrm rot="5400000" flipH="1" flipV="1">
            <a:off x="10123558" y="5556681"/>
            <a:ext cx="56205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CxnSpPr/>
        </xdr:nvCxnSpPr>
        <xdr:spPr bwMode="auto">
          <a:xfrm rot="5400000" flipH="1" flipV="1">
            <a:off x="9803680" y="5575416"/>
            <a:ext cx="48711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 bwMode="auto">
          <a:xfrm>
            <a:off x="10472192" y="5865811"/>
            <a:ext cx="49256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CxnSpPr/>
        </xdr:nvCxnSpPr>
        <xdr:spPr bwMode="auto">
          <a:xfrm>
            <a:off x="10491508" y="6559012"/>
            <a:ext cx="44427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Straight Connector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CxnSpPr/>
        </xdr:nvCxnSpPr>
        <xdr:spPr bwMode="auto">
          <a:xfrm rot="10800000">
            <a:off x="9612624" y="6071898"/>
            <a:ext cx="22213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CxnSpPr/>
        </xdr:nvCxnSpPr>
        <xdr:spPr bwMode="auto">
          <a:xfrm rot="10800000">
            <a:off x="9660914" y="6427866"/>
            <a:ext cx="17384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CxnSpPr/>
        </xdr:nvCxnSpPr>
        <xdr:spPr bwMode="auto">
          <a:xfrm rot="5400000" flipH="1" flipV="1">
            <a:off x="9626312" y="5655041"/>
            <a:ext cx="57142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CxnSpPr/>
        </xdr:nvCxnSpPr>
        <xdr:spPr bwMode="auto">
          <a:xfrm>
            <a:off x="9573991" y="5603519"/>
            <a:ext cx="9368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 bwMode="auto">
          <a:xfrm rot="5400000">
            <a:off x="10272496" y="6203044"/>
            <a:ext cx="82434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9" name="Straight Connector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CxnSpPr/>
        </xdr:nvCxnSpPr>
        <xdr:spPr bwMode="auto">
          <a:xfrm rot="5400000">
            <a:off x="9421133" y="6174651"/>
            <a:ext cx="730671" cy="1931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46</xdr:col>
      <xdr:colOff>85725</xdr:colOff>
      <xdr:row>4</xdr:row>
      <xdr:rowOff>19050</xdr:rowOff>
    </xdr:from>
    <xdr:to>
      <xdr:col>55</xdr:col>
      <xdr:colOff>9525</xdr:colOff>
      <xdr:row>44</xdr:row>
      <xdr:rowOff>57150</xdr:rowOff>
    </xdr:to>
    <xdr:grpSp>
      <xdr:nvGrpSpPr>
        <xdr:cNvPr id="26875" name="Group 171">
          <a:extLst>
            <a:ext uri="{FF2B5EF4-FFF2-40B4-BE49-F238E27FC236}">
              <a16:creationId xmlns:a16="http://schemas.microsoft.com/office/drawing/2014/main" id="{00000000-0008-0000-0200-0000FB680000}"/>
            </a:ext>
          </a:extLst>
        </xdr:cNvPr>
        <xdr:cNvGrpSpPr>
          <a:grpSpLocks/>
        </xdr:cNvGrpSpPr>
      </xdr:nvGrpSpPr>
      <xdr:grpSpPr bwMode="auto">
        <a:xfrm>
          <a:off x="15611475" y="704850"/>
          <a:ext cx="2838450" cy="6896100"/>
          <a:chOff x="14954250" y="685798"/>
          <a:chExt cx="2712244" cy="6719889"/>
        </a:xfrm>
      </xdr:grpSpPr>
      <xdr:cxnSp macro="">
        <xdr:nvCxnSpPr>
          <xdr:cNvPr id="2" name="Straight Connector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CxnSpPr/>
        </xdr:nvCxnSpPr>
        <xdr:spPr>
          <a:xfrm>
            <a:off x="14954250" y="685798"/>
            <a:ext cx="25339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" name="Straight Connector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>
            <a:off x="15207643" y="695594"/>
            <a:ext cx="262778" cy="21550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5601810" y="803347"/>
            <a:ext cx="1276350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flipV="1">
            <a:off x="17018934" y="695594"/>
            <a:ext cx="253393" cy="20571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CxnSpPr/>
        </xdr:nvCxnSpPr>
        <xdr:spPr>
          <a:xfrm>
            <a:off x="17281712" y="685798"/>
            <a:ext cx="262778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 flipV="1">
            <a:off x="15048099" y="7386095"/>
            <a:ext cx="262778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flipV="1">
            <a:off x="15310877" y="7150997"/>
            <a:ext cx="262778" cy="22530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15554885" y="7297934"/>
            <a:ext cx="1510973" cy="979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/>
        </xdr:nvCxnSpPr>
        <xdr:spPr>
          <a:xfrm>
            <a:off x="17131553" y="7160793"/>
            <a:ext cx="253393" cy="215507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 flipV="1">
            <a:off x="17384946" y="7386095"/>
            <a:ext cx="253393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 rot="16200000" flipH="1">
            <a:off x="11669385" y="3998818"/>
            <a:ext cx="6719889" cy="93849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CxnSpPr/>
        </xdr:nvCxnSpPr>
        <xdr:spPr>
          <a:xfrm rot="16200000" flipH="1">
            <a:off x="14289012" y="3989022"/>
            <a:ext cx="6661114" cy="93849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" name="Rectangle 167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15648735" y="1165790"/>
            <a:ext cx="187699" cy="48979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16699846" y="1155994"/>
            <a:ext cx="197083" cy="48979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70" name="Rectangle 169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15789509" y="6906103"/>
            <a:ext cx="187699" cy="48979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71" name="Rectangle 170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16784311" y="6896308"/>
            <a:ext cx="197083" cy="39183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18</xdr:row>
      <xdr:rowOff>152400</xdr:rowOff>
    </xdr:from>
    <xdr:to>
      <xdr:col>12</xdr:col>
      <xdr:colOff>390525</xdr:colOff>
      <xdr:row>35</xdr:row>
      <xdr:rowOff>28575</xdr:rowOff>
    </xdr:to>
    <xdr:pic>
      <xdr:nvPicPr>
        <xdr:cNvPr id="17458" name="Picture 34">
          <a:extLst>
            <a:ext uri="{FF2B5EF4-FFF2-40B4-BE49-F238E27FC236}">
              <a16:creationId xmlns:a16="http://schemas.microsoft.com/office/drawing/2014/main" id="{00000000-0008-0000-0300-000032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00550" y="3524250"/>
          <a:ext cx="9867900" cy="2952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23</xdr:col>
      <xdr:colOff>35934</xdr:colOff>
      <xdr:row>65</xdr:row>
      <xdr:rowOff>6188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11458" t="35370" r="2894" b="30926"/>
        <a:stretch>
          <a:fillRect/>
        </a:stretch>
      </xdr:blipFill>
      <xdr:spPr bwMode="auto">
        <a:xfrm>
          <a:off x="5534025" y="7600950"/>
          <a:ext cx="15085434" cy="43495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14</xdr:row>
          <xdr:rowOff>137160</xdr:rowOff>
        </xdr:from>
        <xdr:to>
          <xdr:col>8</xdr:col>
          <xdr:colOff>0</xdr:colOff>
          <xdr:row>16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Process Door Frame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219075</xdr:colOff>
      <xdr:row>7</xdr:row>
      <xdr:rowOff>19050</xdr:rowOff>
    </xdr:from>
    <xdr:to>
      <xdr:col>103</xdr:col>
      <xdr:colOff>53976</xdr:colOff>
      <xdr:row>50</xdr:row>
      <xdr:rowOff>158751</xdr:rowOff>
    </xdr:to>
    <xdr:grpSp>
      <xdr:nvGrpSpPr>
        <xdr:cNvPr id="56" name="Group 128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>
          <a:grpSpLocks/>
        </xdr:cNvGrpSpPr>
      </xdr:nvGrpSpPr>
      <xdr:grpSpPr bwMode="auto">
        <a:xfrm rot="16200000">
          <a:off x="25931812" y="-2166937"/>
          <a:ext cx="7512051" cy="14284326"/>
          <a:chOff x="7400925" y="292099"/>
          <a:chExt cx="7056995" cy="12280901"/>
        </a:xfrm>
      </xdr:grpSpPr>
      <xdr:grpSp>
        <xdr:nvGrpSpPr>
          <xdr:cNvPr id="57" name="Group 22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GrpSpPr>
            <a:grpSpLocks/>
          </xdr:cNvGrpSpPr>
        </xdr:nvGrpSpPr>
        <xdr:grpSpPr bwMode="auto">
          <a:xfrm>
            <a:off x="9313224" y="990706"/>
            <a:ext cx="4548958" cy="990554"/>
            <a:chOff x="1223518" y="814760"/>
            <a:chExt cx="6146272" cy="990554"/>
          </a:xfrm>
        </xdr:grpSpPr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CxnSpPr/>
          </xdr:nvCxnSpPr>
          <xdr:spPr>
            <a:xfrm>
              <a:off x="1223518" y="814760"/>
              <a:ext cx="639421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Straight Connector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CxnSpPr/>
          </xdr:nvCxnSpPr>
          <xdr:spPr>
            <a:xfrm>
              <a:off x="1862939" y="814760"/>
              <a:ext cx="613322" cy="488301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" name="Straight Connector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CxnSpPr/>
          </xdr:nvCxnSpPr>
          <xdr:spPr>
            <a:xfrm flipV="1">
              <a:off x="2476261" y="1303061"/>
              <a:ext cx="1174447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CxnSpPr/>
          </xdr:nvCxnSpPr>
          <xdr:spPr>
            <a:xfrm rot="16200000" flipH="1">
              <a:off x="3420508" y="1533261"/>
              <a:ext cx="460398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3" name="Straight Connector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CxnSpPr/>
          </xdr:nvCxnSpPr>
          <xdr:spPr>
            <a:xfrm>
              <a:off x="3702905" y="1805314"/>
              <a:ext cx="118749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4" name="Straight Connector 14">
              <a:extLst>
                <a:ext uri="{FF2B5EF4-FFF2-40B4-BE49-F238E27FC236}">
                  <a16:creationId xmlns:a16="http://schemas.microsoft.com/office/drawing/2014/main" id="{00000000-0008-0000-0400-000068000000}"/>
                </a:ext>
              </a:extLst>
            </xdr:cNvPr>
            <xdr:cNvCxnSpPr/>
          </xdr:nvCxnSpPr>
          <xdr:spPr>
            <a:xfrm rot="5400000" flipH="1" flipV="1">
              <a:off x="4704522" y="1554188"/>
              <a:ext cx="50225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CxnSpPr/>
          </xdr:nvCxnSpPr>
          <xdr:spPr>
            <a:xfrm>
              <a:off x="4955649" y="1303061"/>
              <a:ext cx="118749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6" name="Straight Connector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CxnSpPr/>
          </xdr:nvCxnSpPr>
          <xdr:spPr>
            <a:xfrm flipV="1">
              <a:off x="6143145" y="856615"/>
              <a:ext cx="600273" cy="44644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7" name="Straight Connector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CxnSpPr/>
          </xdr:nvCxnSpPr>
          <xdr:spPr>
            <a:xfrm>
              <a:off x="6743418" y="814760"/>
              <a:ext cx="626372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CxnSpPr/>
        </xdr:nvCxnSpPr>
        <xdr:spPr bwMode="auto">
          <a:xfrm rot="5400000">
            <a:off x="3871290" y="6357401"/>
            <a:ext cx="10794033" cy="7051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CxnSpPr/>
        </xdr:nvCxnSpPr>
        <xdr:spPr bwMode="auto">
          <a:xfrm rot="5400000">
            <a:off x="8422429" y="6369245"/>
            <a:ext cx="10782518" cy="58343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Straight Connector 59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CxnSpPr/>
        </xdr:nvCxnSpPr>
        <xdr:spPr bwMode="auto">
          <a:xfrm>
            <a:off x="9245617" y="11795491"/>
            <a:ext cx="4548952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 bwMode="auto">
          <a:xfrm>
            <a:off x="10047237" y="5893914"/>
            <a:ext cx="338033" cy="665098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CxnSpPr/>
        </xdr:nvCxnSpPr>
        <xdr:spPr bwMode="auto">
          <a:xfrm rot="10800000">
            <a:off x="7400925" y="945879"/>
            <a:ext cx="174811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CxnSpPr/>
        </xdr:nvCxnSpPr>
        <xdr:spPr bwMode="auto">
          <a:xfrm rot="10800000">
            <a:off x="7400925" y="11804858"/>
            <a:ext cx="179640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Straight Connector 63">
            <a:extLst>
              <a:ext uri="{FF2B5EF4-FFF2-40B4-BE49-F238E27FC236}">
                <a16:creationId xmlns:a16="http://schemas.microsoft.com/office/drawing/2014/main" id="{00000000-0008-0000-0400-000040000000}"/>
              </a:ext>
            </a:extLst>
          </xdr:cNvPr>
          <xdr:cNvCxnSpPr/>
        </xdr:nvCxnSpPr>
        <xdr:spPr bwMode="auto">
          <a:xfrm rot="5400000" flipH="1" flipV="1">
            <a:off x="9223940" y="559077"/>
            <a:ext cx="15924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Straight Connector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CxnSpPr/>
        </xdr:nvCxnSpPr>
        <xdr:spPr bwMode="auto">
          <a:xfrm rot="16200000" flipV="1">
            <a:off x="10096799" y="540195"/>
            <a:ext cx="393438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Straight Connector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CxnSpPr/>
        </xdr:nvCxnSpPr>
        <xdr:spPr bwMode="auto">
          <a:xfrm rot="5400000" flipH="1" flipV="1">
            <a:off x="11002478" y="502871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Straight Connector 66">
            <a:extLst>
              <a:ext uri="{FF2B5EF4-FFF2-40B4-BE49-F238E27FC236}">
                <a16:creationId xmlns:a16="http://schemas.microsoft.com/office/drawing/2014/main" id="{00000000-0008-0000-0400-000043000000}"/>
              </a:ext>
            </a:extLst>
          </xdr:cNvPr>
          <xdr:cNvCxnSpPr/>
        </xdr:nvCxnSpPr>
        <xdr:spPr bwMode="auto">
          <a:xfrm rot="16200000" flipV="1">
            <a:off x="9645665" y="479452"/>
            <a:ext cx="26229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Straight Connector 67">
            <a:extLst>
              <a:ext uri="{FF2B5EF4-FFF2-40B4-BE49-F238E27FC236}">
                <a16:creationId xmlns:a16="http://schemas.microsoft.com/office/drawing/2014/main" id="{00000000-0008-0000-0400-000044000000}"/>
              </a:ext>
            </a:extLst>
          </xdr:cNvPr>
          <xdr:cNvCxnSpPr/>
        </xdr:nvCxnSpPr>
        <xdr:spPr bwMode="auto">
          <a:xfrm rot="16200000" flipH="1">
            <a:off x="4669948" y="3608224"/>
            <a:ext cx="5751695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Straight Connector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CxnSpPr/>
        </xdr:nvCxnSpPr>
        <xdr:spPr bwMode="auto">
          <a:xfrm rot="5400000">
            <a:off x="5739305" y="9903239"/>
            <a:ext cx="3709562" cy="0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CxnSpPr/>
        </xdr:nvCxnSpPr>
        <xdr:spPr bwMode="auto">
          <a:xfrm rot="5400000">
            <a:off x="8951990" y="12231084"/>
            <a:ext cx="6838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Straight Connector 70">
            <a:extLst>
              <a:ext uri="{FF2B5EF4-FFF2-40B4-BE49-F238E27FC236}">
                <a16:creationId xmlns:a16="http://schemas.microsoft.com/office/drawing/2014/main" id="{00000000-0008-0000-0400-000047000000}"/>
              </a:ext>
            </a:extLst>
          </xdr:cNvPr>
          <xdr:cNvCxnSpPr/>
        </xdr:nvCxnSpPr>
        <xdr:spPr bwMode="auto">
          <a:xfrm rot="5400000">
            <a:off x="13552174" y="12235767"/>
            <a:ext cx="56205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CxnSpPr/>
        </xdr:nvCxnSpPr>
        <xdr:spPr bwMode="auto">
          <a:xfrm flipV="1">
            <a:off x="9313223" y="12385648"/>
            <a:ext cx="4519978" cy="28103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CxnSpPr/>
        </xdr:nvCxnSpPr>
        <xdr:spPr bwMode="auto">
          <a:xfrm rot="10800000">
            <a:off x="13037045" y="1494754"/>
            <a:ext cx="1420875" cy="16589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CxnSpPr/>
        </xdr:nvCxnSpPr>
        <xdr:spPr bwMode="auto">
          <a:xfrm rot="16200000">
            <a:off x="14029139" y="1279105"/>
            <a:ext cx="431299" cy="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00000000-0008-0000-0400-00004B000000}"/>
              </a:ext>
            </a:extLst>
          </xdr:cNvPr>
          <xdr:cNvCxnSpPr/>
        </xdr:nvCxnSpPr>
        <xdr:spPr bwMode="auto">
          <a:xfrm rot="5400000">
            <a:off x="14097427" y="2128338"/>
            <a:ext cx="271660" cy="0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00000000-0008-0000-0400-00004C000000}"/>
              </a:ext>
            </a:extLst>
          </xdr:cNvPr>
          <xdr:cNvCxnSpPr/>
        </xdr:nvCxnSpPr>
        <xdr:spPr bwMode="auto">
          <a:xfrm rot="5400000">
            <a:off x="13745371" y="512239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Straight Connector 76">
            <a:extLst>
              <a:ext uri="{FF2B5EF4-FFF2-40B4-BE49-F238E27FC236}">
                <a16:creationId xmlns:a16="http://schemas.microsoft.com/office/drawing/2014/main" id="{00000000-0008-0000-0400-00004D000000}"/>
              </a:ext>
            </a:extLst>
          </xdr:cNvPr>
          <xdr:cNvCxnSpPr/>
        </xdr:nvCxnSpPr>
        <xdr:spPr bwMode="auto">
          <a:xfrm rot="16200000" flipH="1">
            <a:off x="13291441" y="446666"/>
            <a:ext cx="25292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Straight Connector 77">
            <a:extLst>
              <a:ext uri="{FF2B5EF4-FFF2-40B4-BE49-F238E27FC236}">
                <a16:creationId xmlns:a16="http://schemas.microsoft.com/office/drawing/2014/main" id="{00000000-0008-0000-0400-00004E000000}"/>
              </a:ext>
            </a:extLst>
          </xdr:cNvPr>
          <xdr:cNvCxnSpPr/>
        </xdr:nvCxnSpPr>
        <xdr:spPr bwMode="auto">
          <a:xfrm rot="16200000" flipH="1">
            <a:off x="12686034" y="512092"/>
            <a:ext cx="449644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0000000-0008-0000-0400-00004F000000}"/>
              </a:ext>
            </a:extLst>
          </xdr:cNvPr>
          <xdr:cNvCxnSpPr/>
        </xdr:nvCxnSpPr>
        <xdr:spPr bwMode="auto">
          <a:xfrm rot="5400000">
            <a:off x="11936516" y="516777"/>
            <a:ext cx="384071" cy="965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00000000-0008-0000-0400-000050000000}"/>
              </a:ext>
            </a:extLst>
          </xdr:cNvPr>
          <xdr:cNvCxnSpPr/>
        </xdr:nvCxnSpPr>
        <xdr:spPr bwMode="auto">
          <a:xfrm flipV="1">
            <a:off x="9245617" y="554392"/>
            <a:ext cx="4809720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Connector 80">
            <a:extLst>
              <a:ext uri="{FF2B5EF4-FFF2-40B4-BE49-F238E27FC236}">
                <a16:creationId xmlns:a16="http://schemas.microsoft.com/office/drawing/2014/main" id="{00000000-0008-0000-0400-000051000000}"/>
              </a:ext>
            </a:extLst>
          </xdr:cNvPr>
          <xdr:cNvCxnSpPr/>
        </xdr:nvCxnSpPr>
        <xdr:spPr bwMode="auto">
          <a:xfrm rot="10800000" flipV="1">
            <a:off x="8076990" y="6249882"/>
            <a:ext cx="2549731" cy="37470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00000000-0008-0000-0400-000052000000}"/>
              </a:ext>
            </a:extLst>
          </xdr:cNvPr>
          <xdr:cNvCxnSpPr/>
        </xdr:nvCxnSpPr>
        <xdr:spPr bwMode="auto">
          <a:xfrm rot="16200000" flipH="1">
            <a:off x="6867810" y="10451097"/>
            <a:ext cx="2679128" cy="9658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400-000053000000}"/>
              </a:ext>
            </a:extLst>
          </xdr:cNvPr>
          <xdr:cNvCxnSpPr/>
        </xdr:nvCxnSpPr>
        <xdr:spPr bwMode="auto">
          <a:xfrm rot="5400000">
            <a:off x="7224359" y="7322325"/>
            <a:ext cx="2004663" cy="9658"/>
          </a:xfrm>
          <a:prstGeom prst="straightConnector1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CxnSpPr/>
        </xdr:nvCxnSpPr>
        <xdr:spPr>
          <a:xfrm rot="10800000">
            <a:off x="8637157" y="1457582"/>
            <a:ext cx="141007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CxnSpPr/>
        </xdr:nvCxnSpPr>
        <xdr:spPr>
          <a:xfrm rot="5400000">
            <a:off x="8562435" y="1237053"/>
            <a:ext cx="78687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 bwMode="auto">
          <a:xfrm>
            <a:off x="9912024" y="6071898"/>
            <a:ext cx="125555" cy="346601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CxnSpPr/>
        </xdr:nvCxnSpPr>
        <xdr:spPr bwMode="auto">
          <a:xfrm rot="5400000">
            <a:off x="9438018" y="6934284"/>
            <a:ext cx="908856" cy="13534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/>
        </xdr:nvCxnSpPr>
        <xdr:spPr bwMode="auto">
          <a:xfrm rot="10800000" flipH="1" flipV="1">
            <a:off x="9255274" y="7205376"/>
            <a:ext cx="621054" cy="104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CxnSpPr/>
        </xdr:nvCxnSpPr>
        <xdr:spPr bwMode="auto">
          <a:xfrm rot="5400000" flipH="1" flipV="1">
            <a:off x="10123558" y="5556681"/>
            <a:ext cx="56205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Straight Connector 89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CxnSpPr/>
        </xdr:nvCxnSpPr>
        <xdr:spPr bwMode="auto">
          <a:xfrm rot="5400000" flipH="1" flipV="1">
            <a:off x="9803682" y="5575415"/>
            <a:ext cx="48711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Straight Connector 90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CxnSpPr/>
        </xdr:nvCxnSpPr>
        <xdr:spPr bwMode="auto">
          <a:xfrm>
            <a:off x="10472192" y="5865811"/>
            <a:ext cx="49256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Straight Connector 91">
            <a:extLst>
              <a:ext uri="{FF2B5EF4-FFF2-40B4-BE49-F238E27FC236}">
                <a16:creationId xmlns:a16="http://schemas.microsoft.com/office/drawing/2014/main" id="{00000000-0008-0000-0400-00005C000000}"/>
              </a:ext>
            </a:extLst>
          </xdr:cNvPr>
          <xdr:cNvCxnSpPr/>
        </xdr:nvCxnSpPr>
        <xdr:spPr bwMode="auto">
          <a:xfrm>
            <a:off x="10491508" y="6559012"/>
            <a:ext cx="444271" cy="936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00000000-0008-0000-0400-00005D000000}"/>
              </a:ext>
            </a:extLst>
          </xdr:cNvPr>
          <xdr:cNvCxnSpPr/>
        </xdr:nvCxnSpPr>
        <xdr:spPr bwMode="auto">
          <a:xfrm rot="10800000">
            <a:off x="9612624" y="6071898"/>
            <a:ext cx="22213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400-00005E000000}"/>
              </a:ext>
            </a:extLst>
          </xdr:cNvPr>
          <xdr:cNvCxnSpPr/>
        </xdr:nvCxnSpPr>
        <xdr:spPr bwMode="auto">
          <a:xfrm rot="10800000">
            <a:off x="9660914" y="6427866"/>
            <a:ext cx="17384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CxnSpPr/>
        </xdr:nvCxnSpPr>
        <xdr:spPr bwMode="auto">
          <a:xfrm rot="5400000" flipH="1" flipV="1">
            <a:off x="9608552" y="5737982"/>
            <a:ext cx="57142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Straight Connector 9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CxnSpPr/>
        </xdr:nvCxnSpPr>
        <xdr:spPr bwMode="auto">
          <a:xfrm rot="10800000" flipH="1" flipV="1">
            <a:off x="9769043" y="5509132"/>
            <a:ext cx="35522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CxnSpPr/>
        </xdr:nvCxnSpPr>
        <xdr:spPr bwMode="auto">
          <a:xfrm rot="5400000">
            <a:off x="10272496" y="6203044"/>
            <a:ext cx="82434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Straight Connector 9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CxnSpPr/>
        </xdr:nvCxnSpPr>
        <xdr:spPr bwMode="auto">
          <a:xfrm rot="5400000">
            <a:off x="9421133" y="6174651"/>
            <a:ext cx="730671" cy="1931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315513</xdr:colOff>
      <xdr:row>7</xdr:row>
      <xdr:rowOff>16146</xdr:rowOff>
    </xdr:from>
    <xdr:to>
      <xdr:col>46</xdr:col>
      <xdr:colOff>30614</xdr:colOff>
      <xdr:row>46</xdr:row>
      <xdr:rowOff>75715</xdr:rowOff>
    </xdr:to>
    <xdr:grpSp>
      <xdr:nvGrpSpPr>
        <xdr:cNvPr id="2" name="Group 6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 rot="16200000">
          <a:off x="6282141" y="-3054882"/>
          <a:ext cx="6746119" cy="15288476"/>
          <a:chOff x="108857" y="306326"/>
          <a:chExt cx="6209518" cy="12723874"/>
        </a:xfrm>
      </xdr:grpSpPr>
      <xdr:grpSp>
        <xdr:nvGrpSpPr>
          <xdr:cNvPr id="3" name="Group 2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GrpSpPr>
            <a:grpSpLocks/>
          </xdr:cNvGrpSpPr>
        </xdr:nvGrpSpPr>
        <xdr:grpSpPr bwMode="auto">
          <a:xfrm>
            <a:off x="1595986" y="920920"/>
            <a:ext cx="4315414" cy="991175"/>
            <a:chOff x="1219182" y="806568"/>
            <a:chExt cx="6139302" cy="991175"/>
          </a:xfrm>
        </xdr:grpSpPr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CxnSpPr/>
          </xdr:nvCxnSpPr>
          <xdr:spPr>
            <a:xfrm>
              <a:off x="1219182" y="806568"/>
              <a:ext cx="62301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" name="Straight Connector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CxnSpPr/>
          </xdr:nvCxnSpPr>
          <xdr:spPr>
            <a:xfrm>
              <a:off x="1842198" y="806568"/>
              <a:ext cx="623016" cy="48219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" name="Straight Connector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CxnSpPr/>
          </xdr:nvCxnSpPr>
          <xdr:spPr>
            <a:xfrm flipV="1">
              <a:off x="2465214" y="1288761"/>
              <a:ext cx="118113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" name="Straight Connector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CxnSpPr/>
          </xdr:nvCxnSpPr>
          <xdr:spPr>
            <a:xfrm rot="16200000" flipH="1">
              <a:off x="3411948" y="1523161"/>
              <a:ext cx="468799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CxnSpPr/>
          </xdr:nvCxnSpPr>
          <xdr:spPr>
            <a:xfrm flipV="1">
              <a:off x="3698264" y="1785046"/>
              <a:ext cx="2379237" cy="1269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" name="Straight Connector 50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CxnSpPr/>
          </xdr:nvCxnSpPr>
          <xdr:spPr>
            <a:xfrm rot="16200000">
              <a:off x="5969473" y="954248"/>
              <a:ext cx="965498" cy="71755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Straight Connector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CxnSpPr/>
          </xdr:nvCxnSpPr>
          <xdr:spPr>
            <a:xfrm flipV="1">
              <a:off x="6826948" y="806568"/>
              <a:ext cx="531536" cy="225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CxnSpPr/>
        </xdr:nvCxnSpPr>
        <xdr:spPr bwMode="auto">
          <a:xfrm rot="5400000">
            <a:off x="-4069141" y="6556856"/>
            <a:ext cx="11285742" cy="4672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 bwMode="auto">
          <a:xfrm rot="5400000">
            <a:off x="231385" y="6558272"/>
            <a:ext cx="11327698" cy="58908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CxnSpPr/>
        </xdr:nvCxnSpPr>
        <xdr:spPr bwMode="auto">
          <a:xfrm>
            <a:off x="1550368" y="12223089"/>
            <a:ext cx="431541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 bwMode="auto">
          <a:xfrm>
            <a:off x="2334989" y="2822615"/>
            <a:ext cx="218964" cy="959038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 bwMode="auto">
          <a:xfrm>
            <a:off x="2426223" y="5956106"/>
            <a:ext cx="209840" cy="949543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 bwMode="auto">
          <a:xfrm>
            <a:off x="2462717" y="9554873"/>
            <a:ext cx="218964" cy="949543"/>
          </a:xfrm>
          <a:prstGeom prst="rect">
            <a:avLst/>
          </a:prstGeom>
          <a:solidFill>
            <a:sysClr val="window" lastClr="FF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CxnSpPr/>
        </xdr:nvCxnSpPr>
        <xdr:spPr>
          <a:xfrm rot="10800000">
            <a:off x="134976" y="919089"/>
            <a:ext cx="1359400" cy="949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 rot="10800000">
            <a:off x="108857" y="12232584"/>
            <a:ext cx="1386770" cy="949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CxnSpPr/>
        </xdr:nvCxnSpPr>
        <xdr:spPr>
          <a:xfrm rot="5400000" flipH="1" flipV="1">
            <a:off x="1519651" y="515225"/>
            <a:ext cx="17091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CxnSpPr/>
        </xdr:nvCxnSpPr>
        <xdr:spPr>
          <a:xfrm rot="16200000" flipV="1">
            <a:off x="2245516" y="501168"/>
            <a:ext cx="398808" cy="91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CxnSpPr/>
        </xdr:nvCxnSpPr>
        <xdr:spPr>
          <a:xfrm rot="16200000">
            <a:off x="2977093" y="644308"/>
            <a:ext cx="662222" cy="2424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CxnSpPr/>
        </xdr:nvCxnSpPr>
        <xdr:spPr>
          <a:xfrm rot="16200000" flipV="1">
            <a:off x="1937471" y="439262"/>
            <a:ext cx="26587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CxnSpPr/>
        </xdr:nvCxnSpPr>
        <xdr:spPr>
          <a:xfrm rot="5400000">
            <a:off x="-2613957" y="3823949"/>
            <a:ext cx="5732467" cy="13133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CxnSpPr/>
        </xdr:nvCxnSpPr>
        <xdr:spPr>
          <a:xfrm rot="5400000">
            <a:off x="-1645741" y="10248039"/>
            <a:ext cx="3874135" cy="0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CxnSpPr/>
        </xdr:nvCxnSpPr>
        <xdr:spPr>
          <a:xfrm rot="5400000">
            <a:off x="1230783" y="12674122"/>
            <a:ext cx="71215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 rot="5400000">
            <a:off x="5607915" y="12678869"/>
            <a:ext cx="58871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CxnSpPr/>
        </xdr:nvCxnSpPr>
        <xdr:spPr>
          <a:xfrm flipV="1">
            <a:off x="1614233" y="12830796"/>
            <a:ext cx="4288040" cy="37982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 flipH="1">
            <a:off x="5201518" y="1866702"/>
            <a:ext cx="1116857" cy="1124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CxnSpPr/>
        </xdr:nvCxnSpPr>
        <xdr:spPr>
          <a:xfrm rot="5400000">
            <a:off x="5810206" y="661055"/>
            <a:ext cx="27536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 rot="16200000" flipH="1">
            <a:off x="5386524" y="630245"/>
            <a:ext cx="246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CxnSpPr/>
        </xdr:nvCxnSpPr>
        <xdr:spPr>
          <a:xfrm rot="5400000">
            <a:off x="4444984" y="1099273"/>
            <a:ext cx="1140836" cy="884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CxnSpPr/>
        </xdr:nvCxnSpPr>
        <xdr:spPr>
          <a:xfrm flipV="1">
            <a:off x="1488788" y="626950"/>
            <a:ext cx="4543498" cy="189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flipH="1">
            <a:off x="820391" y="2870092"/>
            <a:ext cx="1368621" cy="677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>
          <a:xfrm rot="5400000">
            <a:off x="-56620" y="1885024"/>
            <a:ext cx="1969178" cy="19945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CxnSpPr/>
        </xdr:nvCxnSpPr>
        <xdr:spPr>
          <a:xfrm rot="5400000">
            <a:off x="2002649" y="4294406"/>
            <a:ext cx="66468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CxnSpPr/>
        </xdr:nvCxnSpPr>
        <xdr:spPr>
          <a:xfrm flipV="1">
            <a:off x="1568615" y="4427342"/>
            <a:ext cx="802867" cy="18991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CxnSpPr/>
        </xdr:nvCxnSpPr>
        <xdr:spPr>
          <a:xfrm rot="10800000">
            <a:off x="984712" y="10494921"/>
            <a:ext cx="133203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CxnSpPr/>
        </xdr:nvCxnSpPr>
        <xdr:spPr>
          <a:xfrm rot="5400000">
            <a:off x="197078" y="11354814"/>
            <a:ext cx="1766150" cy="2737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CxnSpPr/>
        </xdr:nvCxnSpPr>
        <xdr:spPr>
          <a:xfrm rot="10800000" flipV="1">
            <a:off x="701884" y="6449868"/>
            <a:ext cx="2162267" cy="37982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CxnSpPr/>
        </xdr:nvCxnSpPr>
        <xdr:spPr>
          <a:xfrm rot="16200000" flipH="1">
            <a:off x="-566401" y="10817951"/>
            <a:ext cx="2801151" cy="9123"/>
          </a:xfrm>
          <a:prstGeom prst="line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Straight Arrow Connector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CxnSpPr/>
        </xdr:nvCxnSpPr>
        <xdr:spPr>
          <a:xfrm rot="5400000">
            <a:off x="-192075" y="7565766"/>
            <a:ext cx="2088994" cy="9123"/>
          </a:xfrm>
          <a:prstGeom prst="straightConnector1">
            <a:avLst/>
          </a:prstGeom>
          <a:ln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CxnSpPr/>
        </xdr:nvCxnSpPr>
        <xdr:spPr>
          <a:xfrm>
            <a:off x="2599570" y="2851101"/>
            <a:ext cx="29195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CxnSpPr/>
        </xdr:nvCxnSpPr>
        <xdr:spPr>
          <a:xfrm>
            <a:off x="2590446" y="3791148"/>
            <a:ext cx="25545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CxnSpPr/>
        </xdr:nvCxnSpPr>
        <xdr:spPr>
          <a:xfrm rot="5400000">
            <a:off x="2266398" y="3321125"/>
            <a:ext cx="940047" cy="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CxnSpPr/>
        </xdr:nvCxnSpPr>
        <xdr:spPr>
          <a:xfrm rot="5400000" flipH="1" flipV="1">
            <a:off x="2235286" y="2684931"/>
            <a:ext cx="19940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CxnSpPr/>
        </xdr:nvCxnSpPr>
        <xdr:spPr>
          <a:xfrm rot="5400000" flipH="1" flipV="1">
            <a:off x="2435631" y="2675436"/>
            <a:ext cx="218395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CxnSpPr/>
        </xdr:nvCxnSpPr>
        <xdr:spPr>
          <a:xfrm>
            <a:off x="2271124" y="2670688"/>
            <a:ext cx="5656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32986</xdr:colOff>
      <xdr:row>6</xdr:row>
      <xdr:rowOff>110436</xdr:rowOff>
    </xdr:from>
    <xdr:to>
      <xdr:col>6</xdr:col>
      <xdr:colOff>32987</xdr:colOff>
      <xdr:row>9</xdr:row>
      <xdr:rowOff>73864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CxnSpPr/>
      </xdr:nvCxnSpPr>
      <xdr:spPr>
        <a:xfrm rot="5400000" flipH="1" flipV="1">
          <a:off x="2094385" y="1306587"/>
          <a:ext cx="449203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297317</xdr:colOff>
      <xdr:row>7</xdr:row>
      <xdr:rowOff>70251</xdr:rowOff>
    </xdr:from>
    <xdr:to>
      <xdr:col>9</xdr:col>
      <xdr:colOff>107744</xdr:colOff>
      <xdr:row>7</xdr:row>
      <xdr:rowOff>82036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CxnSpPr/>
      </xdr:nvCxnSpPr>
      <xdr:spPr>
        <a:xfrm flipV="1">
          <a:off x="2268992" y="1203726"/>
          <a:ext cx="1077252" cy="1178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109142</xdr:colOff>
      <xdr:row>20</xdr:row>
      <xdr:rowOff>90244</xdr:rowOff>
    </xdr:from>
    <xdr:to>
      <xdr:col>16</xdr:col>
      <xdr:colOff>131867</xdr:colOff>
      <xdr:row>22</xdr:row>
      <xdr:rowOff>38061</xdr:rowOff>
    </xdr:to>
    <xdr:sp macro="" textlink="">
      <xdr:nvSpPr>
        <xdr:cNvPr id="138" name="Trapezoid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/>
      </xdr:nvSpPr>
      <xdr:spPr>
        <a:xfrm rot="16200000">
          <a:off x="5998518" y="3368681"/>
          <a:ext cx="281192" cy="391818"/>
        </a:xfrm>
        <a:prstGeom prst="trapezoid">
          <a:avLst/>
        </a:prstGeom>
        <a:solidFill>
          <a:schemeClr val="accent2"/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203818</xdr:colOff>
      <xdr:row>28</xdr:row>
      <xdr:rowOff>39008</xdr:rowOff>
    </xdr:from>
    <xdr:to>
      <xdr:col>7</xdr:col>
      <xdr:colOff>181299</xdr:colOff>
      <xdr:row>29</xdr:row>
      <xdr:rowOff>148750</xdr:rowOff>
    </xdr:to>
    <xdr:sp macro="" textlink="">
      <xdr:nvSpPr>
        <xdr:cNvPr id="139" name="Trapezoid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/>
      </xdr:nvSpPr>
      <xdr:spPr>
        <a:xfrm rot="16200000">
          <a:off x="2772938" y="4465471"/>
          <a:ext cx="268492" cy="305565"/>
        </a:xfrm>
        <a:prstGeom prst="trapezoid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97974</xdr:colOff>
      <xdr:row>16</xdr:row>
      <xdr:rowOff>148354</xdr:rowOff>
    </xdr:from>
    <xdr:to>
      <xdr:col>9</xdr:col>
      <xdr:colOff>4018</xdr:colOff>
      <xdr:row>18</xdr:row>
      <xdr:rowOff>96171</xdr:rowOff>
    </xdr:to>
    <xdr:sp macro="" textlink="">
      <xdr:nvSpPr>
        <xdr:cNvPr id="140" name="Trapezoid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/>
      </xdr:nvSpPr>
      <xdr:spPr>
        <a:xfrm rot="16200000">
          <a:off x="3422744" y="2800522"/>
          <a:ext cx="281192" cy="310856"/>
        </a:xfrm>
        <a:prstGeom prst="trapezoid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213321</xdr:colOff>
      <xdr:row>25</xdr:row>
      <xdr:rowOff>55219</xdr:rowOff>
    </xdr:from>
    <xdr:to>
      <xdr:col>6</xdr:col>
      <xdr:colOff>213322</xdr:colOff>
      <xdr:row>29</xdr:row>
      <xdr:rowOff>1603</xdr:rowOff>
    </xdr:to>
    <xdr:cxnSp macro="">
      <xdr:nvCxnSpPr>
        <xdr:cNvPr id="147" name="Straight Connector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CxnSpPr>
          <a:stCxn id="139" idx="0"/>
        </xdr:cNvCxnSpPr>
      </xdr:nvCxnSpPr>
      <xdr:spPr>
        <a:xfrm rot="10800000" flipH="1">
          <a:off x="2763904" y="4023969"/>
          <a:ext cx="1" cy="58138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249513</xdr:colOff>
      <xdr:row>22</xdr:row>
      <xdr:rowOff>64708</xdr:rowOff>
    </xdr:from>
    <xdr:to>
      <xdr:col>17</xdr:col>
      <xdr:colOff>238125</xdr:colOff>
      <xdr:row>22</xdr:row>
      <xdr:rowOff>71438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CxnSpPr/>
      </xdr:nvCxnSpPr>
      <xdr:spPr>
        <a:xfrm>
          <a:off x="6464576" y="3731833"/>
          <a:ext cx="321987" cy="67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189983</xdr:colOff>
      <xdr:row>20</xdr:row>
      <xdr:rowOff>106639</xdr:rowOff>
    </xdr:from>
    <xdr:to>
      <xdr:col>17</xdr:col>
      <xdr:colOff>219490</xdr:colOff>
      <xdr:row>20</xdr:row>
      <xdr:rowOff>106639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CxnSpPr/>
      </xdr:nvCxnSpPr>
      <xdr:spPr>
        <a:xfrm>
          <a:off x="6393139" y="3440389"/>
          <a:ext cx="36288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116649</xdr:colOff>
      <xdr:row>20</xdr:row>
      <xdr:rowOff>142876</xdr:rowOff>
    </xdr:from>
    <xdr:to>
      <xdr:col>15</xdr:col>
      <xdr:colOff>112852</xdr:colOff>
      <xdr:row>20</xdr:row>
      <xdr:rowOff>142876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CxnSpPr/>
      </xdr:nvCxnSpPr>
      <xdr:spPr>
        <a:xfrm rot="10800000">
          <a:off x="5641149" y="3476626"/>
          <a:ext cx="305766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1847</xdr:colOff>
      <xdr:row>22</xdr:row>
      <xdr:rowOff>8</xdr:rowOff>
    </xdr:from>
    <xdr:to>
      <xdr:col>15</xdr:col>
      <xdr:colOff>67074</xdr:colOff>
      <xdr:row>22</xdr:row>
      <xdr:rowOff>8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CxnSpPr/>
      </xdr:nvCxnSpPr>
      <xdr:spPr>
        <a:xfrm rot="10800000">
          <a:off x="5538253" y="3667133"/>
          <a:ext cx="37479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48476</xdr:colOff>
      <xdr:row>15</xdr:row>
      <xdr:rowOff>47625</xdr:rowOff>
    </xdr:from>
    <xdr:to>
      <xdr:col>10</xdr:col>
      <xdr:colOff>107156</xdr:colOff>
      <xdr:row>15</xdr:row>
      <xdr:rowOff>55217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CxnSpPr/>
      </xdr:nvCxnSpPr>
      <xdr:spPr>
        <a:xfrm flipV="1">
          <a:off x="3763226" y="2547938"/>
          <a:ext cx="380149" cy="759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38468</xdr:colOff>
      <xdr:row>17</xdr:row>
      <xdr:rowOff>0</xdr:rowOff>
    </xdr:from>
    <xdr:to>
      <xdr:col>10</xdr:col>
      <xdr:colOff>50374</xdr:colOff>
      <xdr:row>17</xdr:row>
      <xdr:rowOff>0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CxnSpPr/>
      </xdr:nvCxnSpPr>
      <xdr:spPr>
        <a:xfrm>
          <a:off x="3753218" y="2833688"/>
          <a:ext cx="3333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64178</xdr:colOff>
      <xdr:row>18</xdr:row>
      <xdr:rowOff>110435</xdr:rowOff>
    </xdr:from>
    <xdr:to>
      <xdr:col>10</xdr:col>
      <xdr:colOff>7063</xdr:colOff>
      <xdr:row>18</xdr:row>
      <xdr:rowOff>110435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CxnSpPr/>
      </xdr:nvCxnSpPr>
      <xdr:spPr>
        <a:xfrm>
          <a:off x="3778928" y="3110810"/>
          <a:ext cx="264354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193261</xdr:colOff>
      <xdr:row>31</xdr:row>
      <xdr:rowOff>124240</xdr:rowOff>
    </xdr:from>
    <xdr:to>
      <xdr:col>8</xdr:col>
      <xdr:colOff>193261</xdr:colOff>
      <xdr:row>31</xdr:row>
      <xdr:rowOff>124240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CxnSpPr/>
      </xdr:nvCxnSpPr>
      <xdr:spPr>
        <a:xfrm>
          <a:off x="2664239" y="5259457"/>
          <a:ext cx="3175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165652</xdr:colOff>
      <xdr:row>29</xdr:row>
      <xdr:rowOff>151848</xdr:rowOff>
    </xdr:from>
    <xdr:to>
      <xdr:col>8</xdr:col>
      <xdr:colOff>234674</xdr:colOff>
      <xdr:row>29</xdr:row>
      <xdr:rowOff>151848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CxnSpPr/>
      </xdr:nvCxnSpPr>
      <xdr:spPr>
        <a:xfrm>
          <a:off x="2636630" y="4955761"/>
          <a:ext cx="38652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179457</xdr:colOff>
      <xdr:row>28</xdr:row>
      <xdr:rowOff>27609</xdr:rowOff>
    </xdr:from>
    <xdr:to>
      <xdr:col>8</xdr:col>
      <xdr:colOff>234674</xdr:colOff>
      <xdr:row>28</xdr:row>
      <xdr:rowOff>27609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CxnSpPr/>
      </xdr:nvCxnSpPr>
      <xdr:spPr>
        <a:xfrm>
          <a:off x="2650435" y="4665870"/>
          <a:ext cx="37271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165652</xdr:colOff>
      <xdr:row>28</xdr:row>
      <xdr:rowOff>110436</xdr:rowOff>
    </xdr:from>
    <xdr:to>
      <xdr:col>6</xdr:col>
      <xdr:colOff>179456</xdr:colOff>
      <xdr:row>28</xdr:row>
      <xdr:rowOff>112038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CxnSpPr/>
      </xdr:nvCxnSpPr>
      <xdr:spPr>
        <a:xfrm rot="10800000">
          <a:off x="2001630" y="4748697"/>
          <a:ext cx="331304" cy="160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151849</xdr:colOff>
      <xdr:row>29</xdr:row>
      <xdr:rowOff>82832</xdr:rowOff>
    </xdr:from>
    <xdr:to>
      <xdr:col>6</xdr:col>
      <xdr:colOff>179458</xdr:colOff>
      <xdr:row>29</xdr:row>
      <xdr:rowOff>96636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CxnSpPr/>
      </xdr:nvCxnSpPr>
      <xdr:spPr>
        <a:xfrm rot="10800000">
          <a:off x="2112066" y="4886745"/>
          <a:ext cx="345109" cy="138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46062</xdr:colOff>
      <xdr:row>17</xdr:row>
      <xdr:rowOff>55214</xdr:rowOff>
    </xdr:from>
    <xdr:to>
      <xdr:col>8</xdr:col>
      <xdr:colOff>26565</xdr:colOff>
      <xdr:row>17</xdr:row>
      <xdr:rowOff>55215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CxnSpPr/>
      </xdr:nvCxnSpPr>
      <xdr:spPr>
        <a:xfrm rot="10800000" flipV="1">
          <a:off x="3022625" y="2888902"/>
          <a:ext cx="313878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312312</xdr:colOff>
      <xdr:row>18</xdr:row>
      <xdr:rowOff>41415</xdr:rowOff>
    </xdr:from>
    <xdr:to>
      <xdr:col>8</xdr:col>
      <xdr:colOff>42264</xdr:colOff>
      <xdr:row>18</xdr:row>
      <xdr:rowOff>55220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CxnSpPr/>
      </xdr:nvCxnSpPr>
      <xdr:spPr>
        <a:xfrm rot="10800000">
          <a:off x="2955500" y="3041790"/>
          <a:ext cx="396702" cy="138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96631</xdr:colOff>
      <xdr:row>26</xdr:row>
      <xdr:rowOff>41413</xdr:rowOff>
    </xdr:from>
    <xdr:to>
      <xdr:col>10</xdr:col>
      <xdr:colOff>69022</xdr:colOff>
      <xdr:row>26</xdr:row>
      <xdr:rowOff>41413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CxnSpPr/>
      </xdr:nvCxnSpPr>
      <xdr:spPr>
        <a:xfrm>
          <a:off x="3202609" y="4348370"/>
          <a:ext cx="28989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255714</xdr:colOff>
      <xdr:row>16</xdr:row>
      <xdr:rowOff>96630</xdr:rowOff>
    </xdr:from>
    <xdr:to>
      <xdr:col>7</xdr:col>
      <xdr:colOff>255714</xdr:colOff>
      <xdr:row>19</xdr:row>
      <xdr:rowOff>0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CxnSpPr/>
      </xdr:nvCxnSpPr>
      <xdr:spPr>
        <a:xfrm rot="5400000">
          <a:off x="3030560" y="2965347"/>
          <a:ext cx="4034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</xdr:colOff>
      <xdr:row>27</xdr:row>
      <xdr:rowOff>124237</xdr:rowOff>
    </xdr:from>
    <xdr:to>
      <xdr:col>6</xdr:col>
      <xdr:colOff>13806</xdr:colOff>
      <xdr:row>31</xdr:row>
      <xdr:rowOff>2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CxnSpPr/>
      </xdr:nvCxnSpPr>
      <xdr:spPr>
        <a:xfrm rot="16200000" flipH="1">
          <a:off x="2015434" y="4859131"/>
          <a:ext cx="538373" cy="1380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13804</xdr:colOff>
      <xdr:row>35</xdr:row>
      <xdr:rowOff>96632</xdr:rowOff>
    </xdr:from>
    <xdr:to>
      <xdr:col>6</xdr:col>
      <xdr:colOff>13808</xdr:colOff>
      <xdr:row>37</xdr:row>
      <xdr:rowOff>27611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CxnSpPr/>
      </xdr:nvCxnSpPr>
      <xdr:spPr>
        <a:xfrm rot="16200000" flipV="1">
          <a:off x="2440149" y="5798287"/>
          <a:ext cx="248479" cy="4"/>
        </a:xfrm>
        <a:prstGeom prst="straightConnector1">
          <a:avLst/>
        </a:prstGeom>
        <a:ln w="38100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4141</xdr:colOff>
      <xdr:row>37</xdr:row>
      <xdr:rowOff>27608</xdr:rowOff>
    </xdr:from>
    <xdr:to>
      <xdr:col>7</xdr:col>
      <xdr:colOff>59358</xdr:colOff>
      <xdr:row>37</xdr:row>
      <xdr:rowOff>41413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CxnSpPr/>
      </xdr:nvCxnSpPr>
      <xdr:spPr>
        <a:xfrm flipV="1">
          <a:off x="2554724" y="5922525"/>
          <a:ext cx="383301" cy="13805"/>
        </a:xfrm>
        <a:prstGeom prst="straightConnector1">
          <a:avLst/>
        </a:prstGeom>
        <a:ln w="38100">
          <a:solidFill>
            <a:schemeClr val="tx1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179457</xdr:colOff>
      <xdr:row>32</xdr:row>
      <xdr:rowOff>69024</xdr:rowOff>
    </xdr:from>
    <xdr:to>
      <xdr:col>7</xdr:col>
      <xdr:colOff>207067</xdr:colOff>
      <xdr:row>39</xdr:row>
      <xdr:rowOff>82829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CxnSpPr/>
      </xdr:nvCxnSpPr>
      <xdr:spPr>
        <a:xfrm rot="5400000">
          <a:off x="2077555" y="5956578"/>
          <a:ext cx="1173370" cy="276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311463</xdr:colOff>
      <xdr:row>38</xdr:row>
      <xdr:rowOff>154782</xdr:rowOff>
    </xdr:from>
    <xdr:to>
      <xdr:col>9</xdr:col>
      <xdr:colOff>190502</xdr:colOff>
      <xdr:row>39</xdr:row>
      <xdr:rowOff>1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CxnSpPr/>
      </xdr:nvCxnSpPr>
      <xdr:spPr>
        <a:xfrm flipV="1">
          <a:off x="2585557" y="6500813"/>
          <a:ext cx="1319695" cy="119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25712</xdr:colOff>
      <xdr:row>20</xdr:row>
      <xdr:rowOff>70917</xdr:rowOff>
    </xdr:from>
    <xdr:to>
      <xdr:col>16</xdr:col>
      <xdr:colOff>112851</xdr:colOff>
      <xdr:row>20</xdr:row>
      <xdr:rowOff>84722</xdr:rowOff>
    </xdr:to>
    <xdr:cxnSp macro="">
      <xdr:nvCxnSpPr>
        <xdr:cNvPr id="212" name="Straight Connector 211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CxnSpPr/>
      </xdr:nvCxnSpPr>
      <xdr:spPr>
        <a:xfrm rot="10800000" flipV="1">
          <a:off x="5550212" y="3404667"/>
          <a:ext cx="765795" cy="138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76616</xdr:colOff>
      <xdr:row>19</xdr:row>
      <xdr:rowOff>90417</xdr:rowOff>
    </xdr:from>
    <xdr:to>
      <xdr:col>15</xdr:col>
      <xdr:colOff>76616</xdr:colOff>
      <xdr:row>21</xdr:row>
      <xdr:rowOff>35200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CxnSpPr/>
      </xdr:nvCxnSpPr>
      <xdr:spPr>
        <a:xfrm rot="5400000">
          <a:off x="5771600" y="3396559"/>
          <a:ext cx="27815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63499</xdr:colOff>
      <xdr:row>32</xdr:row>
      <xdr:rowOff>21166</xdr:rowOff>
    </xdr:from>
    <xdr:to>
      <xdr:col>22</xdr:col>
      <xdr:colOff>74082</xdr:colOff>
      <xdr:row>42</xdr:row>
      <xdr:rowOff>137584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CxnSpPr/>
      </xdr:nvCxnSpPr>
      <xdr:spPr>
        <a:xfrm rot="16200000" flipH="1">
          <a:off x="6603999" y="5979583"/>
          <a:ext cx="1725084" cy="105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296334</xdr:colOff>
      <xdr:row>42</xdr:row>
      <xdr:rowOff>116417</xdr:rowOff>
    </xdr:from>
    <xdr:to>
      <xdr:col>22</xdr:col>
      <xdr:colOff>74083</xdr:colOff>
      <xdr:row>42</xdr:row>
      <xdr:rowOff>116417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CxnSpPr/>
      </xdr:nvCxnSpPr>
      <xdr:spPr>
        <a:xfrm>
          <a:off x="2275417" y="6826250"/>
          <a:ext cx="5196416" cy="0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264584</xdr:colOff>
      <xdr:row>32</xdr:row>
      <xdr:rowOff>21165</xdr:rowOff>
    </xdr:from>
    <xdr:to>
      <xdr:col>33</xdr:col>
      <xdr:colOff>264584</xdr:colOff>
      <xdr:row>44</xdr:row>
      <xdr:rowOff>84666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CxnSpPr/>
      </xdr:nvCxnSpPr>
      <xdr:spPr>
        <a:xfrm rot="5400000">
          <a:off x="10160000" y="6117166"/>
          <a:ext cx="198966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306917</xdr:colOff>
      <xdr:row>44</xdr:row>
      <xdr:rowOff>21167</xdr:rowOff>
    </xdr:from>
    <xdr:to>
      <xdr:col>33</xdr:col>
      <xdr:colOff>264583</xdr:colOff>
      <xdr:row>44</xdr:row>
      <xdr:rowOff>31750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CxnSpPr/>
      </xdr:nvCxnSpPr>
      <xdr:spPr>
        <a:xfrm>
          <a:off x="2286000" y="7048500"/>
          <a:ext cx="8868833" cy="10583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281782</xdr:colOff>
      <xdr:row>62</xdr:row>
      <xdr:rowOff>119062</xdr:rowOff>
    </xdr:from>
    <xdr:to>
      <xdr:col>21</xdr:col>
      <xdr:colOff>346869</xdr:colOff>
      <xdr:row>68</xdr:row>
      <xdr:rowOff>80962</xdr:rowOff>
    </xdr:to>
    <xdr:sp macro="[0]!komala" textlink="">
      <xdr:nvSpPr>
        <xdr:cNvPr id="158" name="Oval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/>
      </xdr:nvSpPr>
      <xdr:spPr>
        <a:xfrm>
          <a:off x="6913563" y="10489406"/>
          <a:ext cx="993775" cy="962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66</xdr:col>
      <xdr:colOff>190500</xdr:colOff>
      <xdr:row>8</xdr:row>
      <xdr:rowOff>57150</xdr:rowOff>
    </xdr:from>
    <xdr:to>
      <xdr:col>66</xdr:col>
      <xdr:colOff>209550</xdr:colOff>
      <xdr:row>20</xdr:row>
      <xdr:rowOff>152400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CxnSpPr/>
      </xdr:nvCxnSpPr>
      <xdr:spPr>
        <a:xfrm rot="16200000" flipV="1">
          <a:off x="21431250" y="2495550"/>
          <a:ext cx="2152650" cy="19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13608</xdr:colOff>
      <xdr:row>45</xdr:row>
      <xdr:rowOff>108858</xdr:rowOff>
    </xdr:from>
    <xdr:to>
      <xdr:col>81</xdr:col>
      <xdr:colOff>0</xdr:colOff>
      <xdr:row>45</xdr:row>
      <xdr:rowOff>149679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CxnSpPr/>
      </xdr:nvCxnSpPr>
      <xdr:spPr>
        <a:xfrm>
          <a:off x="20723679" y="7483929"/>
          <a:ext cx="5946321" cy="40821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234464</xdr:colOff>
      <xdr:row>64</xdr:row>
      <xdr:rowOff>69399</xdr:rowOff>
    </xdr:from>
    <xdr:to>
      <xdr:col>79</xdr:col>
      <xdr:colOff>110989</xdr:colOff>
      <xdr:row>82</xdr:row>
      <xdr:rowOff>68791</xdr:rowOff>
    </xdr:to>
    <xdr:grpSp>
      <xdr:nvGrpSpPr>
        <xdr:cNvPr id="280" name="Group 279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GrpSpPr/>
      </xdr:nvGrpSpPr>
      <xdr:grpSpPr>
        <a:xfrm>
          <a:off x="20865614" y="11042199"/>
          <a:ext cx="8106125" cy="3085492"/>
          <a:chOff x="18652001" y="10324649"/>
          <a:chExt cx="7619764" cy="2856892"/>
        </a:xfrm>
      </xdr:grpSpPr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CxnSpPr/>
        </xdr:nvCxnSpPr>
        <xdr:spPr bwMode="auto">
          <a:xfrm rot="5400000" flipH="1" flipV="1">
            <a:off x="19486567" y="12887853"/>
            <a:ext cx="132290" cy="4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3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CxnSpPr/>
        </xdr:nvCxnSpPr>
        <xdr:spPr bwMode="auto">
          <a:xfrm rot="5400000" flipH="1" flipV="1">
            <a:off x="19133884" y="11689570"/>
            <a:ext cx="1318690" cy="580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3" name="Straight Connector 5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CxnSpPr/>
        </xdr:nvCxnSpPr>
        <xdr:spPr bwMode="auto">
          <a:xfrm rot="5400000" flipH="1" flipV="1">
            <a:off x="19452168" y="10493375"/>
            <a:ext cx="195792" cy="529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6">
            <a:extLst>
              <a:ext uri="{FF2B5EF4-FFF2-40B4-BE49-F238E27FC236}">
                <a16:creationId xmlns:a16="http://schemas.microsoft.com/office/drawing/2014/main" id="{00000000-0008-0000-0400-000072000000}"/>
              </a:ext>
            </a:extLst>
          </xdr:cNvPr>
          <xdr:cNvCxnSpPr/>
        </xdr:nvCxnSpPr>
        <xdr:spPr bwMode="auto">
          <a:xfrm rot="16200000" flipV="1">
            <a:off x="26121689" y="12767305"/>
            <a:ext cx="261466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Straight Connector 7">
            <a:extLst>
              <a:ext uri="{FF2B5EF4-FFF2-40B4-BE49-F238E27FC236}">
                <a16:creationId xmlns:a16="http://schemas.microsoft.com/office/drawing/2014/main" id="{00000000-0008-0000-0400-000073000000}"/>
              </a:ext>
            </a:extLst>
          </xdr:cNvPr>
          <xdr:cNvCxnSpPr/>
        </xdr:nvCxnSpPr>
        <xdr:spPr bwMode="auto">
          <a:xfrm rot="16200000" flipV="1">
            <a:off x="26003442" y="12397264"/>
            <a:ext cx="256175" cy="22244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6" name="Straight Connector 8">
            <a:extLst>
              <a:ext uri="{FF2B5EF4-FFF2-40B4-BE49-F238E27FC236}">
                <a16:creationId xmlns:a16="http://schemas.microsoft.com/office/drawing/2014/main" id="{00000000-0008-0000-0400-000074000000}"/>
              </a:ext>
            </a:extLst>
          </xdr:cNvPr>
          <xdr:cNvCxnSpPr/>
        </xdr:nvCxnSpPr>
        <xdr:spPr bwMode="auto">
          <a:xfrm rot="5400000" flipH="1" flipV="1">
            <a:off x="25387733" y="11607759"/>
            <a:ext cx="1235968" cy="1165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7" name="Straight Connector 9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CxnSpPr/>
        </xdr:nvCxnSpPr>
        <xdr:spPr bwMode="auto">
          <a:xfrm flipV="1">
            <a:off x="25858732" y="10599879"/>
            <a:ext cx="384020" cy="282331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Straight Connector 10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CxnSpPr/>
        </xdr:nvCxnSpPr>
        <xdr:spPr bwMode="auto">
          <a:xfrm rot="16200000" flipV="1">
            <a:off x="26129098" y="10476553"/>
            <a:ext cx="246648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CxnSpPr/>
        </xdr:nvCxnSpPr>
        <xdr:spPr bwMode="auto">
          <a:xfrm rot="10800000" flipH="1">
            <a:off x="19552557" y="12869457"/>
            <a:ext cx="6719208" cy="8998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2">
            <a:extLst>
              <a:ext uri="{FF2B5EF4-FFF2-40B4-BE49-F238E27FC236}">
                <a16:creationId xmlns:a16="http://schemas.microsoft.com/office/drawing/2014/main" id="{00000000-0008-0000-0400-000078000000}"/>
              </a:ext>
            </a:extLst>
          </xdr:cNvPr>
          <xdr:cNvCxnSpPr/>
        </xdr:nvCxnSpPr>
        <xdr:spPr bwMode="auto">
          <a:xfrm rot="10800000" flipH="1">
            <a:off x="19571900" y="10324649"/>
            <a:ext cx="6661179" cy="89979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400-000079000000}"/>
              </a:ext>
            </a:extLst>
          </xdr:cNvPr>
          <xdr:cNvSpPr/>
        </xdr:nvSpPr>
        <xdr:spPr bwMode="auto">
          <a:xfrm rot="16200000">
            <a:off x="19971235" y="12190022"/>
            <a:ext cx="179958" cy="48357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400-00007A000000}"/>
              </a:ext>
            </a:extLst>
          </xdr:cNvPr>
          <xdr:cNvSpPr/>
        </xdr:nvSpPr>
        <xdr:spPr bwMode="auto">
          <a:xfrm rot="16200000">
            <a:off x="20363416" y="11152622"/>
            <a:ext cx="194776" cy="48357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0000000-0008-0000-0400-00007B000000}"/>
              </a:ext>
            </a:extLst>
          </xdr:cNvPr>
          <xdr:cNvSpPr/>
        </xdr:nvSpPr>
        <xdr:spPr bwMode="auto">
          <a:xfrm rot="16200000">
            <a:off x="25707433" y="12052407"/>
            <a:ext cx="179959" cy="48357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/>
        </xdr:nvSpPr>
        <xdr:spPr bwMode="auto">
          <a:xfrm rot="16200000">
            <a:off x="25685518" y="11077005"/>
            <a:ext cx="194777" cy="38685"/>
          </a:xfrm>
          <a:prstGeom prst="rect">
            <a:avLst/>
          </a:prstGeom>
          <a:solidFill>
            <a:sysClr val="window" lastClr="FFFFFF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400-0000A0000000}"/>
              </a:ext>
            </a:extLst>
          </xdr:cNvPr>
          <xdr:cNvSpPr/>
        </xdr:nvSpPr>
        <xdr:spPr bwMode="auto">
          <a:xfrm rot="16200000" flipV="1">
            <a:off x="21273590" y="11629396"/>
            <a:ext cx="201085" cy="45719"/>
          </a:xfrm>
          <a:prstGeom prst="rect">
            <a:avLst/>
          </a:prstGeom>
          <a:solidFill>
            <a:schemeClr val="accent2"/>
          </a:solid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n-US"/>
          </a:p>
        </xdr:txBody>
      </xdr:sp>
      <xdr:grpSp>
        <xdr:nvGrpSpPr>
          <xdr:cNvPr id="189" name="Group 188">
            <a:extLst>
              <a:ext uri="{FF2B5EF4-FFF2-40B4-BE49-F238E27FC236}">
                <a16:creationId xmlns:a16="http://schemas.microsoft.com/office/drawing/2014/main" id="{00000000-0008-0000-0400-0000BD000000}"/>
              </a:ext>
            </a:extLst>
          </xdr:cNvPr>
          <xdr:cNvGrpSpPr/>
        </xdr:nvGrpSpPr>
        <xdr:grpSpPr>
          <a:xfrm>
            <a:off x="19547417" y="12361332"/>
            <a:ext cx="550336" cy="465668"/>
            <a:chOff x="19288125" y="12747624"/>
            <a:chExt cx="539753" cy="481543"/>
          </a:xfrm>
        </xdr:grpSpPr>
        <xdr:cxnSp macro="">
          <xdr:nvCxnSpPr>
            <xdr:cNvPr id="110" name="Straight Connector 2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CxnSpPr/>
          </xdr:nvCxnSpPr>
          <xdr:spPr bwMode="auto">
            <a:xfrm flipV="1">
              <a:off x="19288125" y="12816417"/>
              <a:ext cx="529167" cy="41275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2" name="Straight Connector 181">
              <a:extLst>
                <a:ext uri="{FF2B5EF4-FFF2-40B4-BE49-F238E27FC236}">
                  <a16:creationId xmlns:a16="http://schemas.microsoft.com/office/drawing/2014/main" id="{00000000-0008-0000-0400-0000B6000000}"/>
                </a:ext>
              </a:extLst>
            </xdr:cNvPr>
            <xdr:cNvCxnSpPr/>
          </xdr:nvCxnSpPr>
          <xdr:spPr>
            <a:xfrm rot="5400000">
              <a:off x="19777605" y="12787312"/>
              <a:ext cx="7937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7" name="Straight Connector 186">
              <a:extLst>
                <a:ext uri="{FF2B5EF4-FFF2-40B4-BE49-F238E27FC236}">
                  <a16:creationId xmlns:a16="http://schemas.microsoft.com/office/drawing/2014/main" id="{00000000-0008-0000-0400-0000BB000000}"/>
                </a:ext>
              </a:extLst>
            </xdr:cNvPr>
            <xdr:cNvCxnSpPr/>
          </xdr:nvCxnSpPr>
          <xdr:spPr>
            <a:xfrm rot="10800000">
              <a:off x="19526251" y="12747625"/>
              <a:ext cx="301627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1" name="Group 190">
            <a:extLst>
              <a:ext uri="{FF2B5EF4-FFF2-40B4-BE49-F238E27FC236}">
                <a16:creationId xmlns:a16="http://schemas.microsoft.com/office/drawing/2014/main" id="{00000000-0008-0000-0400-0000BF000000}"/>
              </a:ext>
            </a:extLst>
          </xdr:cNvPr>
          <xdr:cNvGrpSpPr/>
        </xdr:nvGrpSpPr>
        <xdr:grpSpPr>
          <a:xfrm flipV="1">
            <a:off x="19542143" y="10567447"/>
            <a:ext cx="925403" cy="473492"/>
            <a:chOff x="19287985" y="12739604"/>
            <a:chExt cx="907600" cy="489636"/>
          </a:xfrm>
        </xdr:grpSpPr>
        <xdr:cxnSp macro="">
          <xdr:nvCxnSpPr>
            <xdr:cNvPr id="193" name="Straight Connector 2">
              <a:extLst>
                <a:ext uri="{FF2B5EF4-FFF2-40B4-BE49-F238E27FC236}">
                  <a16:creationId xmlns:a16="http://schemas.microsoft.com/office/drawing/2014/main" id="{00000000-0008-0000-0400-0000C1000000}"/>
                </a:ext>
              </a:extLst>
            </xdr:cNvPr>
            <xdr:cNvCxnSpPr/>
          </xdr:nvCxnSpPr>
          <xdr:spPr bwMode="auto">
            <a:xfrm flipV="1">
              <a:off x="19287985" y="12856854"/>
              <a:ext cx="873731" cy="372386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400-0000C3000000}"/>
                </a:ext>
              </a:extLst>
            </xdr:cNvPr>
            <xdr:cNvCxnSpPr/>
          </xdr:nvCxnSpPr>
          <xdr:spPr>
            <a:xfrm rot="5400000">
              <a:off x="20155897" y="12787371"/>
              <a:ext cx="7937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400-0000C4000000}"/>
                </a:ext>
              </a:extLst>
            </xdr:cNvPr>
            <xdr:cNvCxnSpPr/>
          </xdr:nvCxnSpPr>
          <xdr:spPr>
            <a:xfrm rot="10800000" flipV="1">
              <a:off x="19530952" y="12739604"/>
              <a:ext cx="64223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8" name="Straight Connector 207">
            <a:extLst>
              <a:ext uri="{FF2B5EF4-FFF2-40B4-BE49-F238E27FC236}">
                <a16:creationId xmlns:a16="http://schemas.microsoft.com/office/drawing/2014/main" id="{00000000-0008-0000-0400-0000D0000000}"/>
              </a:ext>
            </a:extLst>
          </xdr:cNvPr>
          <xdr:cNvCxnSpPr/>
        </xdr:nvCxnSpPr>
        <xdr:spPr>
          <a:xfrm rot="10800000">
            <a:off x="19282833" y="10588625"/>
            <a:ext cx="19579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" name="Straight Connector 209">
            <a:extLst>
              <a:ext uri="{FF2B5EF4-FFF2-40B4-BE49-F238E27FC236}">
                <a16:creationId xmlns:a16="http://schemas.microsoft.com/office/drawing/2014/main" id="{00000000-0008-0000-0400-0000D2000000}"/>
              </a:ext>
            </a:extLst>
          </xdr:cNvPr>
          <xdr:cNvCxnSpPr/>
        </xdr:nvCxnSpPr>
        <xdr:spPr>
          <a:xfrm rot="10800000" flipV="1">
            <a:off x="18652001" y="10403417"/>
            <a:ext cx="842501" cy="1885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" name="Straight Connector 218">
            <a:extLst>
              <a:ext uri="{FF2B5EF4-FFF2-40B4-BE49-F238E27FC236}">
                <a16:creationId xmlns:a16="http://schemas.microsoft.com/office/drawing/2014/main" id="{00000000-0008-0000-0400-0000DB000000}"/>
              </a:ext>
            </a:extLst>
          </xdr:cNvPr>
          <xdr:cNvCxnSpPr/>
        </xdr:nvCxnSpPr>
        <xdr:spPr>
          <a:xfrm rot="10800000">
            <a:off x="19319876" y="10925782"/>
            <a:ext cx="1007877" cy="3580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1" name="Straight Connector 220">
            <a:extLst>
              <a:ext uri="{FF2B5EF4-FFF2-40B4-BE49-F238E27FC236}">
                <a16:creationId xmlns:a16="http://schemas.microsoft.com/office/drawing/2014/main" id="{00000000-0008-0000-0400-0000DD000000}"/>
              </a:ext>
            </a:extLst>
          </xdr:cNvPr>
          <xdr:cNvCxnSpPr/>
        </xdr:nvCxnSpPr>
        <xdr:spPr>
          <a:xfrm flipV="1">
            <a:off x="20815214" y="10964333"/>
            <a:ext cx="640291" cy="529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3" name="Straight Connector 222">
            <a:extLst>
              <a:ext uri="{FF2B5EF4-FFF2-40B4-BE49-F238E27FC236}">
                <a16:creationId xmlns:a16="http://schemas.microsoft.com/office/drawing/2014/main" id="{00000000-0008-0000-0400-0000DF000000}"/>
              </a:ext>
            </a:extLst>
          </xdr:cNvPr>
          <xdr:cNvCxnSpPr/>
        </xdr:nvCxnSpPr>
        <xdr:spPr>
          <a:xfrm>
            <a:off x="20888445" y="11038417"/>
            <a:ext cx="243417" cy="529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5" name="Straight Connector 224">
            <a:extLst>
              <a:ext uri="{FF2B5EF4-FFF2-40B4-BE49-F238E27FC236}">
                <a16:creationId xmlns:a16="http://schemas.microsoft.com/office/drawing/2014/main" id="{00000000-0008-0000-0400-0000E1000000}"/>
              </a:ext>
            </a:extLst>
          </xdr:cNvPr>
          <xdr:cNvCxnSpPr/>
        </xdr:nvCxnSpPr>
        <xdr:spPr>
          <a:xfrm>
            <a:off x="20417309" y="11176000"/>
            <a:ext cx="783167" cy="5292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Straight Connector 226">
            <a:extLst>
              <a:ext uri="{FF2B5EF4-FFF2-40B4-BE49-F238E27FC236}">
                <a16:creationId xmlns:a16="http://schemas.microsoft.com/office/drawing/2014/main" id="{00000000-0008-0000-0400-0000E3000000}"/>
              </a:ext>
            </a:extLst>
          </xdr:cNvPr>
          <xdr:cNvCxnSpPr/>
        </xdr:nvCxnSpPr>
        <xdr:spPr>
          <a:xfrm>
            <a:off x="19595042" y="11668125"/>
            <a:ext cx="53975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9" name="Straight Connector 228">
            <a:extLst>
              <a:ext uri="{FF2B5EF4-FFF2-40B4-BE49-F238E27FC236}">
                <a16:creationId xmlns:a16="http://schemas.microsoft.com/office/drawing/2014/main" id="{00000000-0008-0000-0400-0000E5000000}"/>
              </a:ext>
            </a:extLst>
          </xdr:cNvPr>
          <xdr:cNvCxnSpPr/>
        </xdr:nvCxnSpPr>
        <xdr:spPr>
          <a:xfrm rot="5400000" flipH="1" flipV="1">
            <a:off x="21532210" y="11457306"/>
            <a:ext cx="4" cy="18881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400-0000E7000000}"/>
              </a:ext>
            </a:extLst>
          </xdr:cNvPr>
          <xdr:cNvCxnSpPr/>
        </xdr:nvCxnSpPr>
        <xdr:spPr>
          <a:xfrm rot="16200000" flipH="1">
            <a:off x="21557175" y="11645160"/>
            <a:ext cx="5285" cy="22056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3" name="Straight Connector 232">
            <a:extLst>
              <a:ext uri="{FF2B5EF4-FFF2-40B4-BE49-F238E27FC236}">
                <a16:creationId xmlns:a16="http://schemas.microsoft.com/office/drawing/2014/main" id="{00000000-0008-0000-0400-0000E9000000}"/>
              </a:ext>
            </a:extLst>
          </xdr:cNvPr>
          <xdr:cNvCxnSpPr/>
        </xdr:nvCxnSpPr>
        <xdr:spPr>
          <a:xfrm rot="16200000" flipH="1">
            <a:off x="21189202" y="11920777"/>
            <a:ext cx="276945" cy="447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400-0000ED000000}"/>
              </a:ext>
            </a:extLst>
          </xdr:cNvPr>
          <xdr:cNvCxnSpPr/>
        </xdr:nvCxnSpPr>
        <xdr:spPr>
          <a:xfrm rot="5400000">
            <a:off x="21379858" y="11670555"/>
            <a:ext cx="325329" cy="296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9" name="Straight Connector 238">
            <a:extLst>
              <a:ext uri="{FF2B5EF4-FFF2-40B4-BE49-F238E27FC236}">
                <a16:creationId xmlns:a16="http://schemas.microsoft.com/office/drawing/2014/main" id="{00000000-0008-0000-0400-0000EF000000}"/>
              </a:ext>
            </a:extLst>
          </xdr:cNvPr>
          <xdr:cNvCxnSpPr/>
        </xdr:nvCxnSpPr>
        <xdr:spPr>
          <a:xfrm flipV="1">
            <a:off x="21294723" y="11912732"/>
            <a:ext cx="173478" cy="2402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1" name="Straight Connector 240">
            <a:extLst>
              <a:ext uri="{FF2B5EF4-FFF2-40B4-BE49-F238E27FC236}">
                <a16:creationId xmlns:a16="http://schemas.microsoft.com/office/drawing/2014/main" id="{00000000-0008-0000-0400-0000F1000000}"/>
              </a:ext>
            </a:extLst>
          </xdr:cNvPr>
          <xdr:cNvCxnSpPr/>
        </xdr:nvCxnSpPr>
        <xdr:spPr>
          <a:xfrm rot="10800000" flipV="1">
            <a:off x="18723806" y="12969874"/>
            <a:ext cx="797155" cy="681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400-0000F3000000}"/>
              </a:ext>
            </a:extLst>
          </xdr:cNvPr>
          <xdr:cNvCxnSpPr/>
        </xdr:nvCxnSpPr>
        <xdr:spPr>
          <a:xfrm rot="10800000">
            <a:off x="19367500" y="12827000"/>
            <a:ext cx="132292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" name="Straight Connector 244">
            <a:extLst>
              <a:ext uri="{FF2B5EF4-FFF2-40B4-BE49-F238E27FC236}">
                <a16:creationId xmlns:a16="http://schemas.microsoft.com/office/drawing/2014/main" id="{00000000-0008-0000-0400-0000F5000000}"/>
              </a:ext>
            </a:extLst>
          </xdr:cNvPr>
          <xdr:cNvCxnSpPr/>
        </xdr:nvCxnSpPr>
        <xdr:spPr>
          <a:xfrm flipV="1">
            <a:off x="20140083" y="12340166"/>
            <a:ext cx="195792" cy="529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" name="Straight Connector 246">
            <a:extLst>
              <a:ext uri="{FF2B5EF4-FFF2-40B4-BE49-F238E27FC236}">
                <a16:creationId xmlns:a16="http://schemas.microsoft.com/office/drawing/2014/main" id="{00000000-0008-0000-0400-0000F7000000}"/>
              </a:ext>
            </a:extLst>
          </xdr:cNvPr>
          <xdr:cNvCxnSpPr/>
        </xdr:nvCxnSpPr>
        <xdr:spPr>
          <a:xfrm>
            <a:off x="20155958" y="12446000"/>
            <a:ext cx="508000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Straight Connector 248">
            <a:extLst>
              <a:ext uri="{FF2B5EF4-FFF2-40B4-BE49-F238E27FC236}">
                <a16:creationId xmlns:a16="http://schemas.microsoft.com/office/drawing/2014/main" id="{00000000-0008-0000-0400-0000F9000000}"/>
              </a:ext>
            </a:extLst>
          </xdr:cNvPr>
          <xdr:cNvCxnSpPr/>
        </xdr:nvCxnSpPr>
        <xdr:spPr>
          <a:xfrm rot="10800000">
            <a:off x="19256375" y="12430126"/>
            <a:ext cx="783167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Straight Connector 250">
            <a:extLst>
              <a:ext uri="{FF2B5EF4-FFF2-40B4-BE49-F238E27FC236}">
                <a16:creationId xmlns:a16="http://schemas.microsoft.com/office/drawing/2014/main" id="{00000000-0008-0000-0400-0000FB000000}"/>
              </a:ext>
            </a:extLst>
          </xdr:cNvPr>
          <xdr:cNvCxnSpPr/>
        </xdr:nvCxnSpPr>
        <xdr:spPr>
          <a:xfrm rot="5400000">
            <a:off x="19769666" y="12837584"/>
            <a:ext cx="656167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Straight Connector 252">
            <a:extLst>
              <a:ext uri="{FF2B5EF4-FFF2-40B4-BE49-F238E27FC236}">
                <a16:creationId xmlns:a16="http://schemas.microsoft.com/office/drawing/2014/main" id="{00000000-0008-0000-0400-0000FD000000}"/>
              </a:ext>
            </a:extLst>
          </xdr:cNvPr>
          <xdr:cNvCxnSpPr/>
        </xdr:nvCxnSpPr>
        <xdr:spPr>
          <a:xfrm rot="5400000" flipH="1" flipV="1">
            <a:off x="19968106" y="12009437"/>
            <a:ext cx="121710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400-0000FF000000}"/>
              </a:ext>
            </a:extLst>
          </xdr:cNvPr>
          <xdr:cNvCxnSpPr/>
        </xdr:nvCxnSpPr>
        <xdr:spPr>
          <a:xfrm>
            <a:off x="19766469" y="12004787"/>
            <a:ext cx="350803" cy="11340"/>
          </a:xfrm>
          <a:prstGeom prst="line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7" name="Straight Connector 256">
            <a:extLst>
              <a:ext uri="{FF2B5EF4-FFF2-40B4-BE49-F238E27FC236}">
                <a16:creationId xmlns:a16="http://schemas.microsoft.com/office/drawing/2014/main" id="{00000000-0008-0000-0400-000001010000}"/>
              </a:ext>
            </a:extLst>
          </xdr:cNvPr>
          <xdr:cNvCxnSpPr/>
        </xdr:nvCxnSpPr>
        <xdr:spPr>
          <a:xfrm rot="5400000">
            <a:off x="19034127" y="10673291"/>
            <a:ext cx="650874" cy="158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9" name="Straight Connector 258">
            <a:extLst>
              <a:ext uri="{FF2B5EF4-FFF2-40B4-BE49-F238E27FC236}">
                <a16:creationId xmlns:a16="http://schemas.microsoft.com/office/drawing/2014/main" id="{00000000-0008-0000-0400-000003010000}"/>
              </a:ext>
            </a:extLst>
          </xdr:cNvPr>
          <xdr:cNvCxnSpPr/>
        </xdr:nvCxnSpPr>
        <xdr:spPr>
          <a:xfrm rot="5400000">
            <a:off x="19065875" y="12678833"/>
            <a:ext cx="73025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Straight Connector 261">
            <a:extLst>
              <a:ext uri="{FF2B5EF4-FFF2-40B4-BE49-F238E27FC236}">
                <a16:creationId xmlns:a16="http://schemas.microsoft.com/office/drawing/2014/main" id="{00000000-0008-0000-0400-000006010000}"/>
              </a:ext>
            </a:extLst>
          </xdr:cNvPr>
          <xdr:cNvCxnSpPr/>
        </xdr:nvCxnSpPr>
        <xdr:spPr>
          <a:xfrm>
            <a:off x="19886083" y="12207875"/>
            <a:ext cx="804333" cy="5292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Straight Connector 264">
            <a:extLst>
              <a:ext uri="{FF2B5EF4-FFF2-40B4-BE49-F238E27FC236}">
                <a16:creationId xmlns:a16="http://schemas.microsoft.com/office/drawing/2014/main" id="{00000000-0008-0000-0400-000009010000}"/>
              </a:ext>
            </a:extLst>
          </xdr:cNvPr>
          <xdr:cNvCxnSpPr/>
        </xdr:nvCxnSpPr>
        <xdr:spPr>
          <a:xfrm rot="5400000">
            <a:off x="20364981" y="12332229"/>
            <a:ext cx="381000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Straight Connector 266">
            <a:extLst>
              <a:ext uri="{FF2B5EF4-FFF2-40B4-BE49-F238E27FC236}">
                <a16:creationId xmlns:a16="http://schemas.microsoft.com/office/drawing/2014/main" id="{00000000-0008-0000-0400-00000B010000}"/>
              </a:ext>
            </a:extLst>
          </xdr:cNvPr>
          <xdr:cNvCxnSpPr/>
        </xdr:nvCxnSpPr>
        <xdr:spPr>
          <a:xfrm rot="5400000">
            <a:off x="20129501" y="12398374"/>
            <a:ext cx="201084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400-00000D010000}"/>
              </a:ext>
            </a:extLst>
          </xdr:cNvPr>
          <xdr:cNvCxnSpPr/>
        </xdr:nvCxnSpPr>
        <xdr:spPr>
          <a:xfrm rot="5400000">
            <a:off x="19478626" y="13096875"/>
            <a:ext cx="16933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Straight Connector 270">
            <a:extLst>
              <a:ext uri="{FF2B5EF4-FFF2-40B4-BE49-F238E27FC236}">
                <a16:creationId xmlns:a16="http://schemas.microsoft.com/office/drawing/2014/main" id="{00000000-0008-0000-0400-00000F010000}"/>
              </a:ext>
            </a:extLst>
          </xdr:cNvPr>
          <xdr:cNvCxnSpPr/>
        </xdr:nvCxnSpPr>
        <xdr:spPr>
          <a:xfrm>
            <a:off x="19499792" y="13118042"/>
            <a:ext cx="70379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3" name="Straight Connector 272">
            <a:extLst>
              <a:ext uri="{FF2B5EF4-FFF2-40B4-BE49-F238E27FC236}">
                <a16:creationId xmlns:a16="http://schemas.microsoft.com/office/drawing/2014/main" id="{00000000-0008-0000-0400-000011010000}"/>
              </a:ext>
            </a:extLst>
          </xdr:cNvPr>
          <xdr:cNvCxnSpPr/>
        </xdr:nvCxnSpPr>
        <xdr:spPr>
          <a:xfrm rot="5400000">
            <a:off x="20981306" y="11009314"/>
            <a:ext cx="179917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Straight Connector 275">
            <a:extLst>
              <a:ext uri="{FF2B5EF4-FFF2-40B4-BE49-F238E27FC236}">
                <a16:creationId xmlns:a16="http://schemas.microsoft.com/office/drawing/2014/main" id="{00000000-0008-0000-0400-000014010000}"/>
              </a:ext>
            </a:extLst>
          </xdr:cNvPr>
          <xdr:cNvCxnSpPr/>
        </xdr:nvCxnSpPr>
        <xdr:spPr>
          <a:xfrm rot="5400000">
            <a:off x="21026882" y="11059583"/>
            <a:ext cx="365126" cy="52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57</xdr:col>
      <xdr:colOff>73270</xdr:colOff>
      <xdr:row>68</xdr:row>
      <xdr:rowOff>142875</xdr:rowOff>
    </xdr:from>
    <xdr:to>
      <xdr:col>58</xdr:col>
      <xdr:colOff>119063</xdr:colOff>
      <xdr:row>68</xdr:row>
      <xdr:rowOff>146539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CxnSpPr/>
      </xdr:nvCxnSpPr>
      <xdr:spPr>
        <a:xfrm rot="10800000" flipV="1">
          <a:off x="19623333" y="11513344"/>
          <a:ext cx="414886" cy="36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95251</xdr:colOff>
      <xdr:row>77</xdr:row>
      <xdr:rowOff>29309</xdr:rowOff>
    </xdr:from>
    <xdr:to>
      <xdr:col>59</xdr:col>
      <xdr:colOff>102578</xdr:colOff>
      <xdr:row>77</xdr:row>
      <xdr:rowOff>43962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CxnSpPr/>
      </xdr:nvCxnSpPr>
      <xdr:spPr>
        <a:xfrm rot="10800000">
          <a:off x="19013366" y="12521713"/>
          <a:ext cx="637443" cy="1465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219809</xdr:colOff>
      <xdr:row>68</xdr:row>
      <xdr:rowOff>146539</xdr:rowOff>
    </xdr:from>
    <xdr:to>
      <xdr:col>57</xdr:col>
      <xdr:colOff>241789</xdr:colOff>
      <xdr:row>77</xdr:row>
      <xdr:rowOff>29308</xdr:rowOff>
    </xdr:to>
    <xdr:cxnSp macro="">
      <xdr:nvCxnSpPr>
        <xdr:cNvPr id="287" name="Straight Connector 28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CxnSpPr/>
      </xdr:nvCxnSpPr>
      <xdr:spPr>
        <a:xfrm rot="5400000">
          <a:off x="18482164" y="11843972"/>
          <a:ext cx="1333500" cy="21980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14655</xdr:colOff>
      <xdr:row>64</xdr:row>
      <xdr:rowOff>131884</xdr:rowOff>
    </xdr:from>
    <xdr:to>
      <xdr:col>56</xdr:col>
      <xdr:colOff>29308</xdr:colOff>
      <xdr:row>81</xdr:row>
      <xdr:rowOff>139212</xdr:rowOff>
    </xdr:to>
    <xdr:cxnSp macro="">
      <xdr:nvCxnSpPr>
        <xdr:cNvPr id="289" name="Straight Connector 288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CxnSpPr/>
      </xdr:nvCxnSpPr>
      <xdr:spPr>
        <a:xfrm rot="5400000">
          <a:off x="17251241" y="11895260"/>
          <a:ext cx="2747597" cy="1465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205155</xdr:colOff>
      <xdr:row>62</xdr:row>
      <xdr:rowOff>87923</xdr:rowOff>
    </xdr:from>
    <xdr:to>
      <xdr:col>58</xdr:col>
      <xdr:colOff>205155</xdr:colOff>
      <xdr:row>64</xdr:row>
      <xdr:rowOff>102577</xdr:rowOff>
    </xdr:to>
    <xdr:cxnSp macro="">
      <xdr:nvCxnSpPr>
        <xdr:cNvPr id="293" name="Straight Connector 292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CxnSpPr/>
      </xdr:nvCxnSpPr>
      <xdr:spPr>
        <a:xfrm rot="5400000" flipH="1" flipV="1">
          <a:off x="19269808" y="10330962"/>
          <a:ext cx="33703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95251</xdr:colOff>
      <xdr:row>62</xdr:row>
      <xdr:rowOff>21981</xdr:rowOff>
    </xdr:from>
    <xdr:to>
      <xdr:col>79</xdr:col>
      <xdr:colOff>95251</xdr:colOff>
      <xdr:row>64</xdr:row>
      <xdr:rowOff>7327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CxnSpPr/>
      </xdr:nvCxnSpPr>
      <xdr:spPr>
        <a:xfrm rot="5400000" flipH="1" flipV="1">
          <a:off x="26127808" y="10250366"/>
          <a:ext cx="30773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212481</xdr:colOff>
      <xdr:row>63</xdr:row>
      <xdr:rowOff>7326</xdr:rowOff>
    </xdr:from>
    <xdr:to>
      <xdr:col>79</xdr:col>
      <xdr:colOff>87923</xdr:colOff>
      <xdr:row>63</xdr:row>
      <xdr:rowOff>87923</xdr:rowOff>
    </xdr:to>
    <xdr:cxnSp macro="">
      <xdr:nvCxnSpPr>
        <xdr:cNvPr id="297" name="Straight Connector 29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CxnSpPr/>
      </xdr:nvCxnSpPr>
      <xdr:spPr>
        <a:xfrm flipV="1">
          <a:off x="19445654" y="10243038"/>
          <a:ext cx="6828692" cy="80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14007</xdr:colOff>
      <xdr:row>64</xdr:row>
      <xdr:rowOff>98052</xdr:rowOff>
    </xdr:from>
    <xdr:to>
      <xdr:col>15</xdr:col>
      <xdr:colOff>312084</xdr:colOff>
      <xdr:row>70</xdr:row>
      <xdr:rowOff>3922</xdr:rowOff>
    </xdr:to>
    <xdr:sp macro="[0]!lockstile" textlink="">
      <xdr:nvSpPr>
        <xdr:cNvPr id="204" name="Rounded Rectangle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/>
      </xdr:nvSpPr>
      <xdr:spPr>
        <a:xfrm>
          <a:off x="4720478" y="10897721"/>
          <a:ext cx="9144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21</xdr:col>
      <xdr:colOff>56030</xdr:colOff>
      <xdr:row>71</xdr:row>
      <xdr:rowOff>0</xdr:rowOff>
    </xdr:from>
    <xdr:to>
      <xdr:col>23</xdr:col>
      <xdr:colOff>262285</xdr:colOff>
      <xdr:row>76</xdr:row>
      <xdr:rowOff>73959</xdr:rowOff>
    </xdr:to>
    <xdr:sp macro="[0]!head" textlink="">
      <xdr:nvSpPr>
        <xdr:cNvPr id="205" name="Isosceles Triangle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/>
      </xdr:nvSpPr>
      <xdr:spPr>
        <a:xfrm>
          <a:off x="7297831" y="11976287"/>
          <a:ext cx="1060704" cy="9144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64</xdr:col>
      <xdr:colOff>175774</xdr:colOff>
      <xdr:row>73</xdr:row>
      <xdr:rowOff>56031</xdr:rowOff>
    </xdr:from>
    <xdr:to>
      <xdr:col>64</xdr:col>
      <xdr:colOff>175780</xdr:colOff>
      <xdr:row>75</xdr:row>
      <xdr:rowOff>56031</xdr:rowOff>
    </xdr:to>
    <xdr:cxnSp macro="">
      <xdr:nvCxnSpPr>
        <xdr:cNvPr id="214" name="Straight Connector 213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CxnSpPr/>
      </xdr:nvCxnSpPr>
      <xdr:spPr>
        <a:xfrm rot="5400000">
          <a:off x="21785620" y="12426622"/>
          <a:ext cx="333375" cy="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112060</xdr:colOff>
      <xdr:row>71</xdr:row>
      <xdr:rowOff>14007</xdr:rowOff>
    </xdr:from>
    <xdr:to>
      <xdr:col>61</xdr:col>
      <xdr:colOff>112060</xdr:colOff>
      <xdr:row>71</xdr:row>
      <xdr:rowOff>126066</xdr:rowOff>
    </xdr:to>
    <xdr:cxnSp macro="">
      <xdr:nvCxnSpPr>
        <xdr:cNvPr id="224" name="Straight Connector 223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CxnSpPr/>
      </xdr:nvCxnSpPr>
      <xdr:spPr>
        <a:xfrm rot="5400000" flipH="1" flipV="1">
          <a:off x="20296655" y="12046324"/>
          <a:ext cx="11205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56030</xdr:colOff>
      <xdr:row>71</xdr:row>
      <xdr:rowOff>140073</xdr:rowOff>
    </xdr:from>
    <xdr:to>
      <xdr:col>61</xdr:col>
      <xdr:colOff>84044</xdr:colOff>
      <xdr:row>71</xdr:row>
      <xdr:rowOff>140073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CxnSpPr/>
      </xdr:nvCxnSpPr>
      <xdr:spPr>
        <a:xfrm>
          <a:off x="19988493" y="12116360"/>
          <a:ext cx="336176" cy="0"/>
        </a:xfrm>
        <a:prstGeom prst="line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51490</xdr:colOff>
      <xdr:row>71</xdr:row>
      <xdr:rowOff>70037</xdr:rowOff>
    </xdr:from>
    <xdr:to>
      <xdr:col>60</xdr:col>
      <xdr:colOff>56030</xdr:colOff>
      <xdr:row>75</xdr:row>
      <xdr:rowOff>125880</xdr:rowOff>
    </xdr:to>
    <xdr:cxnSp macro="">
      <xdr:nvCxnSpPr>
        <xdr:cNvPr id="236" name="Straight Connector 235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CxnSpPr>
          <a:stCxn id="121" idx="3"/>
        </xdr:cNvCxnSpPr>
      </xdr:nvCxnSpPr>
      <xdr:spPr>
        <a:xfrm rot="5400000" flipH="1" flipV="1">
          <a:off x="19622125" y="12408152"/>
          <a:ext cx="728196" cy="4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320571</xdr:colOff>
      <xdr:row>31</xdr:row>
      <xdr:rowOff>12800</xdr:rowOff>
    </xdr:from>
    <xdr:to>
      <xdr:col>20</xdr:col>
      <xdr:colOff>92817</xdr:colOff>
      <xdr:row>32</xdr:row>
      <xdr:rowOff>57111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/>
      </xdr:nvSpPr>
      <xdr:spPr bwMode="auto">
        <a:xfrm>
          <a:off x="6309415" y="5180113"/>
          <a:ext cx="1034308" cy="222904"/>
        </a:xfrm>
        <a:prstGeom prst="rect">
          <a:avLst/>
        </a:prstGeom>
        <a:solidFill>
          <a:sysClr val="window" lastClr="FFFFFF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16</xdr:col>
      <xdr:colOff>321472</xdr:colOff>
      <xdr:row>28</xdr:row>
      <xdr:rowOff>142875</xdr:rowOff>
    </xdr:from>
    <xdr:to>
      <xdr:col>16</xdr:col>
      <xdr:colOff>321472</xdr:colOff>
      <xdr:row>30</xdr:row>
      <xdr:rowOff>107158</xdr:rowOff>
    </xdr:to>
    <xdr:cxnSp macro="">
      <xdr:nvCxnSpPr>
        <xdr:cNvPr id="213" name="Straight Connector 21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CxnSpPr/>
      </xdr:nvCxnSpPr>
      <xdr:spPr>
        <a:xfrm rot="5400000" flipH="1" flipV="1">
          <a:off x="6161487" y="4958954"/>
          <a:ext cx="29765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154781</xdr:colOff>
      <xdr:row>30</xdr:row>
      <xdr:rowOff>11906</xdr:rowOff>
    </xdr:from>
    <xdr:to>
      <xdr:col>16</xdr:col>
      <xdr:colOff>309562</xdr:colOff>
      <xdr:row>30</xdr:row>
      <xdr:rowOff>11906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CxnSpPr/>
      </xdr:nvCxnSpPr>
      <xdr:spPr>
        <a:xfrm>
          <a:off x="5774531" y="5012531"/>
          <a:ext cx="5238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59530</xdr:colOff>
      <xdr:row>27</xdr:row>
      <xdr:rowOff>59530</xdr:rowOff>
    </xdr:from>
    <xdr:to>
      <xdr:col>9</xdr:col>
      <xdr:colOff>71441</xdr:colOff>
      <xdr:row>39</xdr:row>
      <xdr:rowOff>47627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CxnSpPr/>
      </xdr:nvCxnSpPr>
      <xdr:spPr>
        <a:xfrm rot="16200000" flipH="1">
          <a:off x="2780109" y="5554264"/>
          <a:ext cx="2000253" cy="1191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119066</xdr:colOff>
      <xdr:row>64</xdr:row>
      <xdr:rowOff>11906</xdr:rowOff>
    </xdr:from>
    <xdr:to>
      <xdr:col>61</xdr:col>
      <xdr:colOff>119066</xdr:colOff>
      <xdr:row>67</xdr:row>
      <xdr:rowOff>154781</xdr:rowOff>
    </xdr:to>
    <xdr:cxnSp macro="">
      <xdr:nvCxnSpPr>
        <xdr:cNvPr id="260" name="Straight Connector 259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CxnSpPr/>
      </xdr:nvCxnSpPr>
      <xdr:spPr>
        <a:xfrm rot="5400000" flipH="1" flipV="1">
          <a:off x="20669253" y="11037094"/>
          <a:ext cx="64293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154781</xdr:colOff>
      <xdr:row>17</xdr:row>
      <xdr:rowOff>83343</xdr:rowOff>
    </xdr:from>
    <xdr:to>
      <xdr:col>21</xdr:col>
      <xdr:colOff>130968</xdr:colOff>
      <xdr:row>19</xdr:row>
      <xdr:rowOff>11906</xdr:rowOff>
    </xdr:to>
    <xdr:sp macro="" textlink="">
      <xdr:nvSpPr>
        <xdr:cNvPr id="217" name="Oval 216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/>
      </xdr:nvSpPr>
      <xdr:spPr>
        <a:xfrm>
          <a:off x="7631906" y="2917031"/>
          <a:ext cx="285750" cy="261938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19</xdr:col>
      <xdr:colOff>250031</xdr:colOff>
      <xdr:row>18</xdr:row>
      <xdr:rowOff>166685</xdr:rowOff>
    </xdr:from>
    <xdr:to>
      <xdr:col>24</xdr:col>
      <xdr:colOff>130969</xdr:colOff>
      <xdr:row>19</xdr:row>
      <xdr:rowOff>11906</xdr:rowOff>
    </xdr:to>
    <xdr:cxnSp macro="">
      <xdr:nvCxnSpPr>
        <xdr:cNvPr id="222" name="Straight Connector 221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CxnSpPr/>
      </xdr:nvCxnSpPr>
      <xdr:spPr>
        <a:xfrm>
          <a:off x="7417594" y="3167060"/>
          <a:ext cx="1666875" cy="119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297656</xdr:colOff>
      <xdr:row>16</xdr:row>
      <xdr:rowOff>47625</xdr:rowOff>
    </xdr:from>
    <xdr:to>
      <xdr:col>20</xdr:col>
      <xdr:colOff>297656</xdr:colOff>
      <xdr:row>20</xdr:row>
      <xdr:rowOff>47625</xdr:rowOff>
    </xdr:to>
    <xdr:cxnSp macro="">
      <xdr:nvCxnSpPr>
        <xdr:cNvPr id="230" name="Straight Connector 229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CxnSpPr/>
      </xdr:nvCxnSpPr>
      <xdr:spPr>
        <a:xfrm rot="5400000">
          <a:off x="7441406" y="3048000"/>
          <a:ext cx="66675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297656</xdr:colOff>
      <xdr:row>18</xdr:row>
      <xdr:rowOff>23813</xdr:rowOff>
    </xdr:from>
    <xdr:to>
      <xdr:col>21</xdr:col>
      <xdr:colOff>416718</xdr:colOff>
      <xdr:row>18</xdr:row>
      <xdr:rowOff>35719</xdr:rowOff>
    </xdr:to>
    <xdr:cxnSp macro="">
      <xdr:nvCxnSpPr>
        <xdr:cNvPr id="238" name="Straight Connector 237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CxnSpPr/>
      </xdr:nvCxnSpPr>
      <xdr:spPr>
        <a:xfrm>
          <a:off x="7465219" y="3024188"/>
          <a:ext cx="738187" cy="119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261938</xdr:colOff>
      <xdr:row>15</xdr:row>
      <xdr:rowOff>59531</xdr:rowOff>
    </xdr:from>
    <xdr:to>
      <xdr:col>41</xdr:col>
      <xdr:colOff>307657</xdr:colOff>
      <xdr:row>18</xdr:row>
      <xdr:rowOff>11906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/>
      </xdr:nvSpPr>
      <xdr:spPr>
        <a:xfrm>
          <a:off x="15418594" y="2559844"/>
          <a:ext cx="45719" cy="452437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41</xdr:col>
      <xdr:colOff>251938</xdr:colOff>
      <xdr:row>27</xdr:row>
      <xdr:rowOff>142875</xdr:rowOff>
    </xdr:from>
    <xdr:to>
      <xdr:col>41</xdr:col>
      <xdr:colOff>297657</xdr:colOff>
      <xdr:row>30</xdr:row>
      <xdr:rowOff>59531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/>
      </xdr:nvSpPr>
      <xdr:spPr>
        <a:xfrm>
          <a:off x="15408594" y="4643438"/>
          <a:ext cx="45719" cy="41671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41</xdr:col>
      <xdr:colOff>95250</xdr:colOff>
      <xdr:row>16</xdr:row>
      <xdr:rowOff>130969</xdr:rowOff>
    </xdr:from>
    <xdr:to>
      <xdr:col>44</xdr:col>
      <xdr:colOff>273844</xdr:colOff>
      <xdr:row>16</xdr:row>
      <xdr:rowOff>154781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CxnSpPr/>
      </xdr:nvCxnSpPr>
      <xdr:spPr>
        <a:xfrm>
          <a:off x="15251906" y="2797969"/>
          <a:ext cx="1107282" cy="238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119063</xdr:colOff>
      <xdr:row>29</xdr:row>
      <xdr:rowOff>47625</xdr:rowOff>
    </xdr:from>
    <xdr:to>
      <xdr:col>44</xdr:col>
      <xdr:colOff>261937</xdr:colOff>
      <xdr:row>29</xdr:row>
      <xdr:rowOff>47625</xdr:rowOff>
    </xdr:to>
    <xdr:cxnSp macro="">
      <xdr:nvCxnSpPr>
        <xdr:cNvPr id="235" name="Straight Connector 23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CxnSpPr/>
      </xdr:nvCxnSpPr>
      <xdr:spPr>
        <a:xfrm>
          <a:off x="15275719" y="4881563"/>
          <a:ext cx="107156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95251</xdr:colOff>
      <xdr:row>9</xdr:row>
      <xdr:rowOff>35717</xdr:rowOff>
    </xdr:from>
    <xdr:to>
      <xdr:col>44</xdr:col>
      <xdr:colOff>107157</xdr:colOff>
      <xdr:row>18</xdr:row>
      <xdr:rowOff>71437</xdr:rowOff>
    </xdr:to>
    <xdr:cxnSp macro="">
      <xdr:nvCxnSpPr>
        <xdr:cNvPr id="242" name="Straight Connector 241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CxnSpPr/>
      </xdr:nvCxnSpPr>
      <xdr:spPr>
        <a:xfrm rot="16200000" flipH="1">
          <a:off x="15418594" y="2297906"/>
          <a:ext cx="1535907" cy="119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130969</xdr:colOff>
      <xdr:row>28</xdr:row>
      <xdr:rowOff>71438</xdr:rowOff>
    </xdr:from>
    <xdr:to>
      <xdr:col>44</xdr:col>
      <xdr:colOff>166687</xdr:colOff>
      <xdr:row>38</xdr:row>
      <xdr:rowOff>35719</xdr:rowOff>
    </xdr:to>
    <xdr:cxnSp macro="">
      <xdr:nvCxnSpPr>
        <xdr:cNvPr id="246" name="Straight Connector 245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CxnSpPr/>
      </xdr:nvCxnSpPr>
      <xdr:spPr>
        <a:xfrm rot="16200000" flipH="1">
          <a:off x="15412641" y="5542360"/>
          <a:ext cx="1643062" cy="357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141"/>
  <sheetViews>
    <sheetView tabSelected="1" topLeftCell="A13" workbookViewId="0">
      <selection activeCell="Q12" sqref="Q12"/>
    </sheetView>
  </sheetViews>
  <sheetFormatPr defaultColWidth="3.6640625" defaultRowHeight="13.2"/>
  <cols>
    <col min="1" max="1" width="6.44140625" style="1" customWidth="1"/>
    <col min="2" max="2" width="13.6640625" style="1" customWidth="1"/>
    <col min="3" max="3" width="6.109375" style="1" customWidth="1"/>
    <col min="4" max="4" width="6.5546875" style="1" customWidth="1"/>
    <col min="5" max="5" width="1.6640625" style="1" customWidth="1"/>
    <col min="6" max="6" width="2" style="1" customWidth="1"/>
    <col min="7" max="7" width="2.33203125" style="1" customWidth="1"/>
    <col min="8" max="8" width="2.5546875" style="1" customWidth="1"/>
    <col min="9" max="9" width="3.6640625" style="1" customWidth="1"/>
    <col min="10" max="10" width="2.44140625" style="1" customWidth="1"/>
    <col min="11" max="11" width="2" style="1" customWidth="1"/>
    <col min="12" max="12" width="3.6640625" style="1" customWidth="1"/>
    <col min="13" max="13" width="1.88671875" style="1" customWidth="1"/>
    <col min="14" max="14" width="3.5546875" style="1" customWidth="1"/>
    <col min="15" max="15" width="2.5546875" style="1" customWidth="1"/>
    <col min="16" max="16" width="4.5546875" style="1" customWidth="1"/>
    <col min="17" max="30" width="3.6640625" style="1" customWidth="1"/>
    <col min="31" max="31" width="4.5546875" style="1" customWidth="1"/>
    <col min="32" max="32" width="3.88671875" style="1" customWidth="1"/>
    <col min="33" max="16384" width="3.6640625" style="1"/>
  </cols>
  <sheetData>
    <row r="1" spans="1:40" ht="14.25" customHeight="1">
      <c r="A1" s="131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Q1" s="97"/>
    </row>
    <row r="2" spans="1:40" ht="15">
      <c r="A2" s="338"/>
      <c r="B2" s="338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</row>
    <row r="3" spans="1:40" ht="18" customHeight="1">
      <c r="A3" s="340"/>
      <c r="B3" s="340"/>
      <c r="C3" s="341"/>
      <c r="D3" s="341"/>
      <c r="E3" s="341"/>
      <c r="F3" s="341"/>
      <c r="G3" s="341"/>
      <c r="H3" s="341"/>
      <c r="I3" s="341"/>
      <c r="J3" s="341"/>
      <c r="K3" s="341"/>
      <c r="L3" s="2"/>
      <c r="M3" s="2"/>
      <c r="O3" s="3"/>
      <c r="Q3" s="126">
        <v>40</v>
      </c>
      <c r="U3" s="342">
        <f>(T9+P9+Y9)-Q3</f>
        <v>98</v>
      </c>
      <c r="V3" s="342"/>
      <c r="X3" s="4"/>
      <c r="Y3" s="1">
        <v>12</v>
      </c>
      <c r="AI3" s="335"/>
      <c r="AJ3" s="335"/>
      <c r="AK3" s="335"/>
      <c r="AL3" s="336"/>
      <c r="AM3" s="336"/>
      <c r="AN3" s="336"/>
    </row>
    <row r="4" spans="1:40" ht="17.399999999999999">
      <c r="A4" s="133" t="s">
        <v>276</v>
      </c>
      <c r="B4" s="14"/>
      <c r="C4" s="134"/>
      <c r="D4" s="134"/>
      <c r="E4" s="134"/>
      <c r="F4" s="134"/>
      <c r="G4" s="134"/>
      <c r="H4" s="134"/>
      <c r="I4" s="134"/>
      <c r="J4" s="134"/>
      <c r="K4" s="134"/>
      <c r="L4" s="2"/>
      <c r="M4" s="2"/>
      <c r="N4" s="2"/>
      <c r="O4" s="2"/>
      <c r="AI4" s="335"/>
      <c r="AJ4" s="335"/>
      <c r="AK4" s="335"/>
      <c r="AL4" s="337"/>
      <c r="AM4" s="335"/>
      <c r="AN4" s="335"/>
    </row>
    <row r="5" spans="1:40" ht="15" customHeight="1">
      <c r="A5" s="348" t="s">
        <v>250</v>
      </c>
      <c r="B5" s="348"/>
      <c r="C5" s="348"/>
      <c r="D5" s="348"/>
      <c r="E5" s="348"/>
      <c r="F5" s="348"/>
      <c r="G5" s="348"/>
      <c r="H5" s="348"/>
      <c r="I5" s="348"/>
      <c r="J5" s="348"/>
      <c r="K5" s="348"/>
      <c r="M5" s="3"/>
      <c r="N5" s="126">
        <v>25</v>
      </c>
      <c r="O5" s="2"/>
      <c r="AI5" s="335"/>
      <c r="AJ5" s="335"/>
      <c r="AK5" s="335"/>
      <c r="AL5" s="337"/>
      <c r="AM5" s="335"/>
      <c r="AN5" s="335"/>
    </row>
    <row r="6" spans="1:40" ht="14.25" customHeight="1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AA6" s="1">
        <f>N7+N5</f>
        <v>63</v>
      </c>
      <c r="AI6" s="335"/>
      <c r="AJ6" s="335"/>
      <c r="AK6" s="335"/>
      <c r="AL6" s="336"/>
      <c r="AM6" s="336"/>
      <c r="AN6" s="336"/>
    </row>
    <row r="7" spans="1:40" ht="15">
      <c r="A7" s="349"/>
      <c r="B7" s="349"/>
      <c r="C7" s="344"/>
      <c r="D7" s="344"/>
      <c r="E7" s="344"/>
      <c r="F7" s="344"/>
      <c r="G7" s="344"/>
      <c r="H7" s="344"/>
      <c r="I7" s="344"/>
      <c r="J7" s="344"/>
      <c r="K7" s="344"/>
      <c r="M7" s="3"/>
      <c r="N7" s="126">
        <v>38</v>
      </c>
    </row>
    <row r="8" spans="1:40">
      <c r="A8" s="350"/>
      <c r="B8" s="350"/>
      <c r="C8" s="344"/>
      <c r="D8" s="344"/>
      <c r="E8" s="344"/>
      <c r="F8" s="344"/>
      <c r="G8" s="344"/>
      <c r="H8" s="344"/>
      <c r="I8" s="344"/>
      <c r="J8" s="344"/>
      <c r="K8" s="344"/>
    </row>
    <row r="9" spans="1:40" ht="13.8">
      <c r="A9" s="343" t="s">
        <v>279</v>
      </c>
      <c r="B9" s="343"/>
      <c r="C9" s="345">
        <v>42774.507800925923</v>
      </c>
      <c r="D9" s="345"/>
      <c r="E9" s="345"/>
      <c r="F9" s="345"/>
      <c r="G9" s="345"/>
      <c r="H9" s="345"/>
      <c r="I9" s="345"/>
      <c r="J9" s="345"/>
      <c r="K9" s="345"/>
      <c r="P9" s="126">
        <v>12</v>
      </c>
      <c r="Q9" s="3"/>
      <c r="T9" s="127">
        <v>114</v>
      </c>
      <c r="Y9" s="127">
        <v>12</v>
      </c>
      <c r="AI9" s="346"/>
      <c r="AJ9" s="346"/>
      <c r="AK9" s="347"/>
      <c r="AL9" s="347"/>
    </row>
    <row r="10" spans="1:40" ht="13.8">
      <c r="A10" s="324" t="s">
        <v>280</v>
      </c>
      <c r="B10" s="325"/>
      <c r="C10" s="352">
        <v>1</v>
      </c>
      <c r="D10" s="352"/>
      <c r="E10" s="352"/>
      <c r="F10" s="352"/>
      <c r="G10" s="352"/>
      <c r="H10" s="352"/>
      <c r="I10" s="352"/>
      <c r="J10" s="352"/>
      <c r="K10" s="352"/>
      <c r="AI10" s="346"/>
      <c r="AJ10" s="346"/>
      <c r="AK10" s="347"/>
      <c r="AL10" s="347"/>
    </row>
    <row r="11" spans="1:40" ht="15" customHeight="1">
      <c r="A11" s="325" t="s">
        <v>281</v>
      </c>
      <c r="B11" s="325"/>
      <c r="C11" s="352">
        <v>1</v>
      </c>
      <c r="D11" s="352"/>
      <c r="E11" s="352"/>
      <c r="F11" s="352"/>
      <c r="G11" s="352"/>
      <c r="H11" s="352"/>
      <c r="I11" s="352"/>
      <c r="J11" s="352"/>
      <c r="K11" s="352"/>
      <c r="AI11" s="346"/>
      <c r="AJ11" s="346"/>
      <c r="AK11" s="347"/>
      <c r="AL11" s="347"/>
    </row>
    <row r="12" spans="1:40" ht="17.399999999999999">
      <c r="A12" s="358"/>
      <c r="B12" s="358"/>
      <c r="C12" s="358"/>
      <c r="D12" s="83" t="str">
        <f>C29</f>
        <v>WDP</v>
      </c>
      <c r="E12" s="359"/>
      <c r="F12" s="359"/>
      <c r="G12" s="351">
        <f>T9</f>
        <v>114</v>
      </c>
      <c r="H12" s="351"/>
      <c r="I12" s="351">
        <f>C17</f>
        <v>2000</v>
      </c>
      <c r="J12" s="351"/>
      <c r="K12" s="83" t="s">
        <v>0</v>
      </c>
      <c r="L12" s="351">
        <f>C18</f>
        <v>800</v>
      </c>
      <c r="M12" s="351"/>
      <c r="N12" s="83" t="e">
        <f>#REF!</f>
        <v>#REF!</v>
      </c>
      <c r="O12" s="83">
        <f>C21</f>
        <v>2</v>
      </c>
      <c r="P12" s="83" t="str">
        <f>C20</f>
        <v>SFH</v>
      </c>
      <c r="Q12" s="40"/>
      <c r="AI12" s="346"/>
      <c r="AJ12" s="346"/>
      <c r="AK12" s="347"/>
      <c r="AL12" s="347"/>
    </row>
    <row r="13" spans="1:40" ht="17.399999999999999">
      <c r="A13" s="9" t="s">
        <v>282</v>
      </c>
      <c r="B13" s="39"/>
      <c r="C13" s="326">
        <v>1</v>
      </c>
      <c r="D13" s="355"/>
      <c r="E13" s="356"/>
      <c r="F13" s="356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40"/>
      <c r="AB13" s="16" t="s">
        <v>283</v>
      </c>
      <c r="AI13" s="335"/>
      <c r="AJ13" s="335"/>
      <c r="AK13" s="335"/>
      <c r="AL13" s="335"/>
    </row>
    <row r="14" spans="1:40" ht="17.399999999999999">
      <c r="D14" s="10"/>
      <c r="E14" s="7"/>
      <c r="AB14" s="1">
        <f>details!G46</f>
        <v>2</v>
      </c>
      <c r="AD14" s="335">
        <f>details!I46</f>
        <v>2037</v>
      </c>
      <c r="AE14" s="335"/>
      <c r="AF14" s="360">
        <f>details!L46</f>
        <v>280</v>
      </c>
      <c r="AG14" s="335"/>
      <c r="AH14" s="1">
        <f>details!N46</f>
        <v>1.1000000000000001</v>
      </c>
      <c r="AJ14" s="331"/>
    </row>
    <row r="15" spans="1:40" ht="15.6">
      <c r="A15" s="353" t="s">
        <v>1</v>
      </c>
      <c r="B15" s="353"/>
      <c r="C15" s="357">
        <v>1.1000000000000001</v>
      </c>
      <c r="D15" s="357"/>
      <c r="E15" s="7"/>
      <c r="AB15" s="1">
        <f>details!G47</f>
        <v>1</v>
      </c>
      <c r="AD15" s="361">
        <f>details!I47</f>
        <v>874</v>
      </c>
      <c r="AE15" s="361"/>
      <c r="AF15" s="360">
        <f>details!L47</f>
        <v>280</v>
      </c>
      <c r="AG15" s="335"/>
      <c r="AH15" s="1">
        <f>details!N47</f>
        <v>1.1000000000000001</v>
      </c>
      <c r="AJ15" s="331"/>
    </row>
    <row r="16" spans="1:40" ht="15">
      <c r="A16" s="353" t="s">
        <v>2</v>
      </c>
      <c r="B16" s="353"/>
      <c r="C16" s="363" t="s">
        <v>3</v>
      </c>
      <c r="D16" s="363"/>
      <c r="E16" s="7"/>
      <c r="J16" s="11"/>
      <c r="Y16" s="3"/>
      <c r="Z16" s="3"/>
      <c r="AA16" s="335"/>
      <c r="AB16" s="335"/>
      <c r="AC16" s="335"/>
      <c r="AD16" s="335"/>
      <c r="AE16" s="335"/>
      <c r="AF16" s="335"/>
      <c r="AJ16" s="331"/>
    </row>
    <row r="17" spans="1:36" ht="13.5" customHeight="1">
      <c r="A17" s="353" t="s">
        <v>4</v>
      </c>
      <c r="B17" s="353"/>
      <c r="C17" s="354">
        <v>2000</v>
      </c>
      <c r="D17" s="354"/>
      <c r="E17" s="7"/>
      <c r="V17" s="3"/>
      <c r="AJ17" s="331"/>
    </row>
    <row r="18" spans="1:36" ht="15">
      <c r="A18" s="353" t="s">
        <v>5</v>
      </c>
      <c r="B18" s="353"/>
      <c r="C18" s="354">
        <v>800</v>
      </c>
      <c r="D18" s="354"/>
      <c r="X18" s="335"/>
      <c r="Y18" s="335"/>
      <c r="Z18" s="335"/>
      <c r="AA18" s="335"/>
      <c r="AB18" s="335"/>
      <c r="AJ18" s="331"/>
    </row>
    <row r="19" spans="1:36">
      <c r="A19" s="362" t="s">
        <v>6</v>
      </c>
      <c r="B19" s="362"/>
      <c r="AJ19" s="330"/>
    </row>
    <row r="20" spans="1:36" ht="15">
      <c r="A20" s="136" t="s">
        <v>260</v>
      </c>
      <c r="B20" s="12"/>
      <c r="C20" s="354" t="s">
        <v>261</v>
      </c>
      <c r="D20" s="354"/>
      <c r="F20" s="370"/>
      <c r="G20" s="370"/>
      <c r="H20" s="370"/>
      <c r="K20" s="13"/>
      <c r="AJ20" s="331"/>
    </row>
    <row r="21" spans="1:36" ht="15">
      <c r="A21" s="136" t="s">
        <v>273</v>
      </c>
      <c r="B21" s="12"/>
      <c r="C21" s="369">
        <v>2</v>
      </c>
      <c r="D21" s="369"/>
      <c r="E21" s="14"/>
      <c r="F21" s="14"/>
      <c r="G21" s="14"/>
      <c r="H21" s="15"/>
      <c r="I21" s="15"/>
      <c r="K21" s="13"/>
      <c r="AJ21" s="330"/>
    </row>
    <row r="22" spans="1:36" ht="15">
      <c r="A22" s="132" t="s">
        <v>263</v>
      </c>
      <c r="B22" s="12"/>
      <c r="C22" s="354" t="s">
        <v>264</v>
      </c>
      <c r="D22" s="354"/>
      <c r="E22" s="13"/>
      <c r="I22" s="33"/>
      <c r="K22" s="13"/>
      <c r="P22" s="33"/>
      <c r="AJ22" s="330"/>
    </row>
    <row r="23" spans="1:36" ht="15">
      <c r="A23" s="132" t="s">
        <v>262</v>
      </c>
      <c r="B23" s="12"/>
      <c r="C23" s="354">
        <v>1032</v>
      </c>
      <c r="D23" s="354"/>
      <c r="E23" s="7"/>
      <c r="F23" s="16"/>
      <c r="L23" s="335"/>
      <c r="M23" s="335"/>
      <c r="AJ23" s="330"/>
    </row>
    <row r="24" spans="1:36" ht="17.399999999999999">
      <c r="A24" s="135" t="s">
        <v>272</v>
      </c>
      <c r="B24" s="52"/>
      <c r="C24" s="366" t="s">
        <v>286</v>
      </c>
      <c r="D24" s="366"/>
      <c r="E24" s="17"/>
      <c r="G24" s="7"/>
      <c r="H24" s="18"/>
      <c r="I24" s="19"/>
      <c r="AJ24" s="330"/>
    </row>
    <row r="25" spans="1:36" ht="15">
      <c r="A25" s="52"/>
      <c r="B25" s="52"/>
      <c r="C25" s="367" t="s">
        <v>9</v>
      </c>
      <c r="D25" s="367"/>
      <c r="E25" s="7"/>
      <c r="K25" s="20"/>
      <c r="AJ25" s="329"/>
    </row>
    <row r="26" spans="1:36" ht="15">
      <c r="A26" s="52" t="s">
        <v>11</v>
      </c>
      <c r="B26" s="52"/>
      <c r="C26" s="367" t="s">
        <v>9</v>
      </c>
      <c r="D26" s="367"/>
      <c r="E26" s="7"/>
      <c r="F26" s="7"/>
      <c r="AJ26" s="330"/>
    </row>
    <row r="27" spans="1:36" ht="15">
      <c r="A27" s="52" t="s">
        <v>12</v>
      </c>
      <c r="B27" s="52"/>
      <c r="C27" s="367" t="s">
        <v>9</v>
      </c>
      <c r="D27" s="367"/>
      <c r="F27" s="21"/>
      <c r="AJ27" s="329"/>
    </row>
    <row r="28" spans="1:36">
      <c r="A28" s="52" t="s">
        <v>14</v>
      </c>
      <c r="B28" s="52"/>
      <c r="C28" s="368"/>
      <c r="D28" s="368"/>
      <c r="F28" s="21"/>
      <c r="AJ28" s="329"/>
    </row>
    <row r="29" spans="1:36" ht="15">
      <c r="A29" s="52" t="s">
        <v>15</v>
      </c>
      <c r="B29" s="52"/>
      <c r="C29" s="367" t="s">
        <v>16</v>
      </c>
      <c r="D29" s="367"/>
      <c r="F29" s="22"/>
      <c r="H29" s="12"/>
      <c r="I29" s="12"/>
      <c r="AJ29" s="329"/>
    </row>
    <row r="30" spans="1:36" ht="15">
      <c r="A30" s="52" t="s">
        <v>17</v>
      </c>
      <c r="B30" s="52"/>
      <c r="C30" s="367" t="s">
        <v>9</v>
      </c>
      <c r="D30" s="367"/>
      <c r="F30" s="22"/>
      <c r="G30" s="7"/>
      <c r="I30" s="21"/>
      <c r="AJ30" s="329"/>
    </row>
    <row r="31" spans="1:36" ht="15">
      <c r="A31" s="52" t="s">
        <v>18</v>
      </c>
      <c r="B31" s="52"/>
      <c r="C31" s="367" t="s">
        <v>9</v>
      </c>
      <c r="D31" s="367"/>
      <c r="E31" s="7"/>
      <c r="G31" s="7"/>
      <c r="I31" s="21"/>
      <c r="AJ31" s="328"/>
    </row>
    <row r="32" spans="1:36" ht="15.6">
      <c r="A32" s="62" t="s">
        <v>19</v>
      </c>
      <c r="B32" s="52"/>
      <c r="C32" s="120" t="s">
        <v>9</v>
      </c>
      <c r="D32" s="121"/>
      <c r="E32" s="7"/>
      <c r="F32" s="21"/>
      <c r="AJ32" s="329"/>
    </row>
    <row r="33" spans="1:36" ht="15.6">
      <c r="A33" s="15"/>
      <c r="B33" s="8"/>
      <c r="C33" s="24"/>
      <c r="D33" s="23"/>
      <c r="E33" s="7"/>
      <c r="F33" s="21"/>
      <c r="AJ33" s="328"/>
    </row>
    <row r="34" spans="1:36" ht="15.6">
      <c r="A34" s="372" t="s">
        <v>20</v>
      </c>
      <c r="B34" s="372"/>
      <c r="H34" s="12"/>
      <c r="I34" s="22"/>
      <c r="AJ34" s="328"/>
    </row>
    <row r="35" spans="1:36" ht="17.399999999999999">
      <c r="A35" s="25"/>
      <c r="B35" s="25"/>
      <c r="C35" s="26"/>
      <c r="H35" s="12"/>
      <c r="I35" s="22"/>
      <c r="AF35" s="335"/>
      <c r="AG35" s="335"/>
      <c r="AJ35" s="328"/>
    </row>
    <row r="36" spans="1:36" ht="15.75" customHeight="1">
      <c r="A36" s="364"/>
      <c r="B36" s="364"/>
      <c r="C36" s="365"/>
      <c r="D36" s="365"/>
      <c r="E36" s="365"/>
      <c r="F36" s="365"/>
      <c r="G36" s="365"/>
      <c r="H36" s="365"/>
      <c r="I36" s="365"/>
      <c r="J36" s="365"/>
      <c r="K36" s="365"/>
      <c r="L36" s="365"/>
      <c r="M36" s="365"/>
      <c r="N36" s="365"/>
      <c r="O36" s="365"/>
      <c r="P36" s="365"/>
      <c r="Q36" s="365"/>
      <c r="R36" s="365"/>
      <c r="S36" s="365"/>
      <c r="T36" s="365"/>
      <c r="U36" s="365"/>
      <c r="V36" s="365"/>
      <c r="W36" s="365"/>
      <c r="X36" s="365"/>
      <c r="Y36" s="365"/>
      <c r="Z36" s="365"/>
      <c r="AJ36" s="328"/>
    </row>
    <row r="37" spans="1:36" ht="15" customHeight="1">
      <c r="C37" s="365"/>
      <c r="D37" s="365"/>
      <c r="E37" s="365"/>
      <c r="F37" s="365"/>
      <c r="G37" s="365"/>
      <c r="H37" s="365"/>
      <c r="I37" s="365"/>
      <c r="J37" s="365"/>
      <c r="K37" s="365"/>
      <c r="L37" s="365"/>
      <c r="M37" s="365"/>
      <c r="N37" s="365"/>
      <c r="O37" s="365"/>
      <c r="P37" s="365"/>
      <c r="Q37" s="365"/>
      <c r="R37" s="365"/>
      <c r="S37" s="365"/>
      <c r="T37" s="365"/>
      <c r="U37" s="365"/>
      <c r="V37" s="365"/>
      <c r="W37" s="365"/>
      <c r="X37" s="365"/>
      <c r="Y37" s="365"/>
      <c r="Z37" s="365"/>
      <c r="AJ37" s="327"/>
    </row>
    <row r="38" spans="1:36" ht="15" customHeight="1">
      <c r="A38" s="16"/>
      <c r="B38" s="18"/>
      <c r="C38" s="365"/>
      <c r="D38" s="365"/>
      <c r="E38" s="365"/>
      <c r="F38" s="365"/>
      <c r="G38" s="365"/>
      <c r="H38" s="365"/>
      <c r="I38" s="365"/>
      <c r="J38" s="365"/>
      <c r="K38" s="365"/>
      <c r="L38" s="365"/>
      <c r="M38" s="365"/>
      <c r="N38" s="365"/>
      <c r="O38" s="365"/>
      <c r="P38" s="365"/>
      <c r="Q38" s="365"/>
      <c r="R38" s="365"/>
      <c r="S38" s="365"/>
      <c r="T38" s="365"/>
      <c r="U38" s="365"/>
      <c r="V38" s="365"/>
      <c r="W38" s="365"/>
      <c r="X38" s="365"/>
      <c r="Y38" s="365"/>
      <c r="Z38" s="365"/>
      <c r="AJ38" s="328"/>
    </row>
    <row r="39" spans="1:36" ht="15" customHeight="1">
      <c r="A39" s="1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J39" s="327"/>
    </row>
    <row r="40" spans="1:36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J40" s="327"/>
    </row>
    <row r="41" spans="1:36" ht="15.75" customHeight="1">
      <c r="A41" s="342"/>
      <c r="B41" s="342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J41" s="327"/>
    </row>
    <row r="42" spans="1:36" ht="21">
      <c r="B42" s="29"/>
      <c r="C42" s="30"/>
      <c r="D42" s="30"/>
      <c r="AJ42" s="327"/>
    </row>
    <row r="43" spans="1:36" ht="14.25" customHeight="1"/>
    <row r="44" spans="1:36" ht="15.6">
      <c r="A44" s="373"/>
      <c r="B44" s="373"/>
      <c r="C44" s="31"/>
      <c r="D44" s="31"/>
      <c r="E44" s="9"/>
      <c r="F44" s="32"/>
    </row>
    <row r="45" spans="1:36" ht="17.399999999999999">
      <c r="A45" s="33"/>
      <c r="B45" s="34"/>
      <c r="C45" s="34"/>
      <c r="D45" s="34"/>
      <c r="E45" s="13"/>
      <c r="G45" s="35"/>
      <c r="I45" s="36"/>
    </row>
    <row r="46" spans="1:36" ht="17.399999999999999">
      <c r="A46" s="371"/>
      <c r="B46" s="371"/>
      <c r="C46" s="37"/>
      <c r="D46" s="37"/>
      <c r="E46" s="13"/>
      <c r="G46" s="35"/>
      <c r="I46" s="36"/>
    </row>
    <row r="47" spans="1:36" ht="15">
      <c r="A47" s="371"/>
      <c r="B47" s="371"/>
      <c r="C47" s="6"/>
      <c r="D47" s="6"/>
      <c r="E47" s="7"/>
      <c r="F47" s="7"/>
    </row>
    <row r="48" spans="1:36" ht="15">
      <c r="A48" s="5"/>
      <c r="B48" s="5"/>
      <c r="C48" s="6"/>
      <c r="D48" s="6"/>
      <c r="E48" s="7"/>
      <c r="F48" s="7"/>
    </row>
    <row r="49" spans="1:27" ht="15">
      <c r="A49" s="371"/>
      <c r="B49" s="371"/>
      <c r="C49" s="6"/>
      <c r="D49" s="6"/>
      <c r="F49" s="7"/>
      <c r="G49" s="7"/>
    </row>
    <row r="50" spans="1:27" ht="15">
      <c r="A50" s="379" t="s">
        <v>21</v>
      </c>
      <c r="B50" s="382"/>
      <c r="C50" s="38"/>
      <c r="D50" s="38"/>
      <c r="E50" s="39"/>
      <c r="F50" s="39"/>
      <c r="G50" s="39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</row>
    <row r="51" spans="1:27" ht="15">
      <c r="A51" s="41" t="s">
        <v>22</v>
      </c>
      <c r="B51" s="42" t="s">
        <v>23</v>
      </c>
      <c r="C51" s="38"/>
      <c r="D51" s="38"/>
      <c r="E51" s="39"/>
      <c r="F51" s="39"/>
      <c r="G51" s="39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</row>
    <row r="52" spans="1:27" ht="15">
      <c r="A52" s="41" t="s">
        <v>7</v>
      </c>
      <c r="B52" s="42" t="s">
        <v>24</v>
      </c>
      <c r="C52" s="38"/>
      <c r="D52" s="38"/>
      <c r="E52" s="39"/>
      <c r="F52" s="39"/>
      <c r="G52" s="39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</row>
    <row r="53" spans="1:27" ht="15">
      <c r="A53" s="41" t="s">
        <v>25</v>
      </c>
      <c r="B53" s="42" t="s">
        <v>26</v>
      </c>
      <c r="C53" s="38"/>
      <c r="D53" s="38"/>
      <c r="E53" s="39"/>
      <c r="F53" s="43"/>
      <c r="G53" s="383"/>
      <c r="H53" s="383"/>
      <c r="I53" s="43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</row>
    <row r="54" spans="1:27" ht="15">
      <c r="A54" s="44" t="s">
        <v>27</v>
      </c>
      <c r="B54" s="45"/>
      <c r="C54" s="38"/>
      <c r="D54" s="38"/>
      <c r="E54" s="39"/>
      <c r="F54" s="39"/>
      <c r="G54" s="39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</row>
    <row r="55" spans="1:27" ht="15">
      <c r="A55" s="46" t="s">
        <v>28</v>
      </c>
      <c r="B55" s="47"/>
      <c r="C55" s="38"/>
      <c r="D55" s="38"/>
      <c r="E55" s="39"/>
      <c r="F55" s="39"/>
      <c r="G55" s="39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</row>
    <row r="56" spans="1:27" ht="15">
      <c r="A56" s="40"/>
      <c r="B56" s="40"/>
      <c r="C56" s="40"/>
      <c r="D56" s="40"/>
      <c r="E56" s="40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</row>
    <row r="57" spans="1:27">
      <c r="A57" s="379" t="s">
        <v>29</v>
      </c>
      <c r="B57" s="380"/>
      <c r="C57" s="380"/>
      <c r="D57" s="48"/>
      <c r="E57" s="48"/>
      <c r="F57" s="48"/>
      <c r="G57" s="49"/>
      <c r="H57" s="49" t="str">
        <f>VLOOKUP(C20,A58:I66,3,0)</f>
        <v>SF B/P</v>
      </c>
      <c r="I57" s="40"/>
      <c r="J57" s="49"/>
      <c r="K57" s="49"/>
      <c r="L57" s="49"/>
      <c r="M57" s="5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</row>
    <row r="58" spans="1:27" ht="15">
      <c r="A58" s="51" t="s">
        <v>30</v>
      </c>
      <c r="B58" s="40"/>
      <c r="C58" s="52" t="s">
        <v>31</v>
      </c>
      <c r="D58" s="52"/>
      <c r="E58" s="52"/>
      <c r="F58" s="52"/>
      <c r="G58" s="40"/>
      <c r="H58" s="40"/>
      <c r="I58" s="40"/>
      <c r="J58" s="40"/>
      <c r="K58" s="40"/>
      <c r="L58" s="40"/>
      <c r="M58" s="53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</row>
    <row r="59" spans="1:27" ht="15">
      <c r="A59" s="51" t="s">
        <v>261</v>
      </c>
      <c r="B59" s="40"/>
      <c r="C59" s="52" t="s">
        <v>32</v>
      </c>
      <c r="D59" s="52"/>
      <c r="E59" s="52"/>
      <c r="F59" s="52"/>
      <c r="G59" s="40"/>
      <c r="H59" s="40"/>
      <c r="I59" s="40"/>
      <c r="J59" s="40"/>
      <c r="K59" s="40"/>
      <c r="L59" s="40"/>
      <c r="M59" s="53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</row>
    <row r="60" spans="1:27">
      <c r="A60" s="54" t="s">
        <v>33</v>
      </c>
      <c r="B60" s="40"/>
      <c r="C60" s="52" t="s">
        <v>34</v>
      </c>
      <c r="D60" s="52"/>
      <c r="E60" s="52"/>
      <c r="F60" s="52"/>
      <c r="G60" s="40"/>
      <c r="H60" s="40"/>
      <c r="I60" s="40"/>
      <c r="J60" s="40"/>
      <c r="K60" s="40"/>
      <c r="L60" s="40"/>
      <c r="M60" s="53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</row>
    <row r="61" spans="1:27">
      <c r="A61" s="54" t="s">
        <v>35</v>
      </c>
      <c r="B61" s="40"/>
      <c r="C61" s="52" t="s">
        <v>36</v>
      </c>
      <c r="D61" s="52"/>
      <c r="E61" s="52"/>
      <c r="F61" s="52"/>
      <c r="G61" s="40"/>
      <c r="H61" s="40"/>
      <c r="I61" s="40"/>
      <c r="J61" s="40"/>
      <c r="K61" s="40"/>
      <c r="L61" s="40"/>
      <c r="M61" s="53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</row>
    <row r="62" spans="1:27">
      <c r="A62" s="55" t="s">
        <v>37</v>
      </c>
      <c r="B62" s="43"/>
      <c r="C62" s="52" t="s">
        <v>38</v>
      </c>
      <c r="D62" s="43"/>
      <c r="E62" s="43"/>
      <c r="F62" s="43"/>
      <c r="G62" s="40"/>
      <c r="H62" s="40"/>
      <c r="I62" s="40"/>
      <c r="J62" s="40"/>
      <c r="K62" s="40"/>
      <c r="L62" s="40"/>
      <c r="M62" s="53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</row>
    <row r="63" spans="1:27">
      <c r="A63" s="54" t="s">
        <v>39</v>
      </c>
      <c r="B63" s="40"/>
      <c r="C63" s="52" t="s">
        <v>40</v>
      </c>
      <c r="D63" s="43"/>
      <c r="E63" s="43"/>
      <c r="F63" s="43"/>
      <c r="G63" s="43"/>
      <c r="H63" s="43"/>
      <c r="I63" s="43"/>
      <c r="J63" s="40"/>
      <c r="K63" s="40"/>
      <c r="L63" s="40"/>
      <c r="M63" s="53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</row>
    <row r="64" spans="1:27">
      <c r="A64" s="54" t="s">
        <v>41</v>
      </c>
      <c r="B64" s="40"/>
      <c r="C64" s="52" t="s">
        <v>42</v>
      </c>
      <c r="D64" s="43"/>
      <c r="E64" s="43"/>
      <c r="F64" s="43"/>
      <c r="G64" s="43"/>
      <c r="H64" s="40"/>
      <c r="I64" s="40"/>
      <c r="J64" s="40"/>
      <c r="K64" s="40"/>
      <c r="L64" s="40"/>
      <c r="M64" s="53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</row>
    <row r="65" spans="1:27" ht="13.8">
      <c r="A65" s="56" t="s">
        <v>43</v>
      </c>
      <c r="B65" s="57"/>
      <c r="C65" s="58" t="s">
        <v>44</v>
      </c>
      <c r="D65" s="57"/>
      <c r="E65" s="57"/>
      <c r="F65" s="57"/>
      <c r="G65" s="57"/>
      <c r="H65" s="57"/>
      <c r="I65" s="59"/>
      <c r="J65" s="59"/>
      <c r="K65" s="59"/>
      <c r="L65" s="59"/>
      <c r="M65" s="6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</row>
    <row r="66" spans="1:27" ht="15">
      <c r="A66" s="40" t="s">
        <v>45</v>
      </c>
      <c r="B66" s="40"/>
      <c r="C66" s="40" t="s">
        <v>46</v>
      </c>
      <c r="D66" s="40"/>
      <c r="E66" s="40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</row>
    <row r="67" spans="1:27" ht="15">
      <c r="A67" s="40"/>
      <c r="B67" s="40"/>
      <c r="C67" s="40"/>
      <c r="D67" s="40"/>
      <c r="E67" s="40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</row>
    <row r="68" spans="1:27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</row>
    <row r="69" spans="1:27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</row>
    <row r="70" spans="1:27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</row>
    <row r="71" spans="1:27" ht="15.6">
      <c r="A71" s="40"/>
      <c r="B71" s="40"/>
      <c r="C71" s="61"/>
      <c r="D71" s="61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</row>
    <row r="72" spans="1:27">
      <c r="A72" s="40" t="s">
        <v>47</v>
      </c>
      <c r="B72" s="40"/>
      <c r="C72" s="52"/>
      <c r="D72" s="52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</row>
    <row r="73" spans="1:27" ht="15.6">
      <c r="A73" s="40" t="s">
        <v>48</v>
      </c>
      <c r="B73" s="40"/>
      <c r="C73" s="61"/>
      <c r="D73" s="61"/>
      <c r="E73" s="39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</row>
    <row r="74" spans="1:27" ht="15">
      <c r="A74" s="40" t="s">
        <v>9</v>
      </c>
      <c r="B74" s="40"/>
      <c r="C74" s="62"/>
      <c r="D74" s="62"/>
      <c r="E74" s="39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</row>
    <row r="75" spans="1:27" ht="15">
      <c r="A75" s="40"/>
      <c r="B75" s="40"/>
      <c r="C75" s="62"/>
      <c r="D75" s="62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</row>
    <row r="76" spans="1:27" ht="15">
      <c r="A76" s="379" t="s">
        <v>2</v>
      </c>
      <c r="B76" s="380"/>
      <c r="C76" s="63"/>
      <c r="D76" s="62"/>
      <c r="E76" s="39"/>
      <c r="F76" s="40"/>
      <c r="G76" s="39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</row>
    <row r="77" spans="1:27" ht="15">
      <c r="A77" s="64" t="s">
        <v>3</v>
      </c>
      <c r="B77" s="65" t="s">
        <v>49</v>
      </c>
      <c r="C77" s="66"/>
      <c r="D77" s="62"/>
      <c r="E77" s="67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</row>
    <row r="78" spans="1:27" ht="15">
      <c r="A78" s="64" t="s">
        <v>50</v>
      </c>
      <c r="B78" s="65" t="s">
        <v>51</v>
      </c>
      <c r="C78" s="66"/>
      <c r="D78" s="62"/>
      <c r="E78" s="39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</row>
    <row r="79" spans="1:27" ht="15">
      <c r="A79" s="64" t="s">
        <v>52</v>
      </c>
      <c r="B79" s="65" t="s">
        <v>53</v>
      </c>
      <c r="C79" s="66"/>
      <c r="D79" s="62"/>
      <c r="E79" s="39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</row>
    <row r="80" spans="1:27" ht="15">
      <c r="A80" s="64" t="s">
        <v>54</v>
      </c>
      <c r="B80" s="65" t="s">
        <v>55</v>
      </c>
      <c r="C80" s="66"/>
      <c r="D80" s="62"/>
      <c r="E80" s="39"/>
      <c r="F80" s="39"/>
      <c r="G80" s="39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</row>
    <row r="81" spans="1:27" ht="15">
      <c r="A81" s="64" t="s">
        <v>56</v>
      </c>
      <c r="B81" s="65" t="s">
        <v>57</v>
      </c>
      <c r="C81" s="66"/>
      <c r="D81" s="62"/>
      <c r="E81" s="39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</row>
    <row r="82" spans="1:27" ht="15">
      <c r="A82" s="374" t="s">
        <v>12</v>
      </c>
      <c r="B82" s="375"/>
      <c r="C82" s="68"/>
      <c r="D82" s="69" t="str">
        <f>VLOOKUP(C27,A83:C92,2,0)</f>
        <v>.</v>
      </c>
      <c r="E82" s="39"/>
      <c r="F82" s="70"/>
      <c r="G82" s="40"/>
      <c r="H82" s="52"/>
      <c r="I82" s="52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</row>
    <row r="83" spans="1:27" ht="15">
      <c r="A83" s="55" t="s">
        <v>58</v>
      </c>
      <c r="B83" s="52" t="s">
        <v>59</v>
      </c>
      <c r="C83" s="62"/>
      <c r="D83" s="66"/>
      <c r="E83" s="40"/>
      <c r="F83" s="43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</row>
    <row r="84" spans="1:27" ht="15">
      <c r="A84" s="64" t="s">
        <v>60</v>
      </c>
      <c r="B84" s="65" t="s">
        <v>61</v>
      </c>
      <c r="C84" s="62"/>
      <c r="D84" s="66"/>
      <c r="E84" s="39"/>
      <c r="F84" s="39"/>
      <c r="G84" s="39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</row>
    <row r="85" spans="1:27" ht="15">
      <c r="A85" s="64" t="s">
        <v>62</v>
      </c>
      <c r="B85" s="65" t="s">
        <v>63</v>
      </c>
      <c r="C85" s="62"/>
      <c r="D85" s="66"/>
      <c r="E85" s="40"/>
      <c r="F85" s="39"/>
      <c r="G85" s="39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</row>
    <row r="86" spans="1:27" ht="15">
      <c r="A86" s="64" t="s">
        <v>64</v>
      </c>
      <c r="B86" s="65" t="s">
        <v>65</v>
      </c>
      <c r="C86" s="62"/>
      <c r="D86" s="66"/>
      <c r="E86" s="40"/>
      <c r="F86" s="43"/>
      <c r="G86" s="39"/>
      <c r="H86" s="40"/>
      <c r="I86" s="7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</row>
    <row r="87" spans="1:27" ht="15">
      <c r="A87" s="64" t="s">
        <v>13</v>
      </c>
      <c r="B87" s="65" t="s">
        <v>66</v>
      </c>
      <c r="C87" s="62"/>
      <c r="D87" s="66"/>
      <c r="E87" s="39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</row>
    <row r="88" spans="1:27" ht="15">
      <c r="A88" s="54" t="s">
        <v>67</v>
      </c>
      <c r="B88" s="40" t="s">
        <v>68</v>
      </c>
      <c r="C88" s="71"/>
      <c r="D88" s="72"/>
      <c r="E88" s="39"/>
      <c r="F88" s="70"/>
      <c r="G88" s="40"/>
      <c r="H88" s="52"/>
      <c r="I88" s="43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</row>
    <row r="89" spans="1:27" ht="15">
      <c r="A89" s="54" t="s">
        <v>69</v>
      </c>
      <c r="B89" s="73" t="s">
        <v>70</v>
      </c>
      <c r="C89" s="39"/>
      <c r="D89" s="74"/>
      <c r="E89" s="39"/>
      <c r="F89" s="40"/>
      <c r="G89" s="39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</row>
    <row r="90" spans="1:27" ht="15">
      <c r="A90" s="54" t="s">
        <v>71</v>
      </c>
      <c r="B90" s="40" t="s">
        <v>72</v>
      </c>
      <c r="C90" s="40"/>
      <c r="D90" s="53"/>
      <c r="E90" s="39"/>
      <c r="F90" s="40"/>
      <c r="G90" s="39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</row>
    <row r="91" spans="1:27" ht="15">
      <c r="A91" s="54" t="s">
        <v>41</v>
      </c>
      <c r="B91" s="52" t="s">
        <v>73</v>
      </c>
      <c r="C91" s="75"/>
      <c r="D91" s="76"/>
      <c r="E91" s="39"/>
      <c r="F91" s="40"/>
      <c r="G91" s="39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</row>
    <row r="92" spans="1:27" ht="15">
      <c r="A92" s="54" t="s">
        <v>9</v>
      </c>
      <c r="B92" s="40" t="s">
        <v>9</v>
      </c>
      <c r="C92" s="75"/>
      <c r="D92" s="76"/>
      <c r="E92" s="39"/>
      <c r="F92" s="39"/>
      <c r="G92" s="39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</row>
    <row r="93" spans="1:27">
      <c r="A93" s="77" t="s">
        <v>74</v>
      </c>
      <c r="B93" s="49"/>
      <c r="C93" s="78" t="str">
        <f>VLOOKUP(C22,A94:B108,2,FALSE)</f>
        <v>UNIVERSAL</v>
      </c>
      <c r="D93" s="50"/>
      <c r="E93" s="381">
        <f>VLOOKUP(C22,A94:E108,5,FALSE)</f>
        <v>0</v>
      </c>
      <c r="F93" s="378" t="e">
        <f>VLOOKUP(F22,D94:E108,2,FALSE)</f>
        <v>#N/A</v>
      </c>
      <c r="G93" s="378">
        <f>VLOOKUP(G22,E94:F108,2,FALSE)</f>
        <v>0</v>
      </c>
      <c r="H93" s="49"/>
      <c r="I93" s="378">
        <f>E93*65</f>
        <v>0</v>
      </c>
      <c r="J93" s="378"/>
      <c r="K93" s="5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</row>
    <row r="94" spans="1:27" ht="15">
      <c r="A94" s="54" t="s">
        <v>264</v>
      </c>
      <c r="B94" s="40" t="s">
        <v>265</v>
      </c>
      <c r="C94" s="39"/>
      <c r="D94" s="74"/>
      <c r="E94" s="64">
        <v>0</v>
      </c>
      <c r="F94" s="65"/>
      <c r="G94" s="65"/>
      <c r="H94" s="40"/>
      <c r="I94" s="40"/>
      <c r="J94" s="40"/>
      <c r="K94" s="53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</row>
    <row r="95" spans="1:27">
      <c r="A95" s="54"/>
      <c r="B95" s="40"/>
      <c r="C95" s="40"/>
      <c r="D95" s="53"/>
      <c r="E95" s="79">
        <v>6.6699999999999995E-2</v>
      </c>
      <c r="F95" s="80"/>
      <c r="G95" s="80"/>
      <c r="H95" s="40"/>
      <c r="I95" s="40"/>
      <c r="J95" s="40"/>
      <c r="K95" s="53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</row>
    <row r="96" spans="1:27">
      <c r="A96" s="54"/>
      <c r="B96" s="40"/>
      <c r="C96" s="40"/>
      <c r="D96" s="53"/>
      <c r="E96" s="79">
        <v>6.6699999999999995E-2</v>
      </c>
      <c r="F96" s="80"/>
      <c r="G96" s="80"/>
      <c r="H96" s="40"/>
      <c r="I96" s="40"/>
      <c r="J96" s="40"/>
      <c r="K96" s="53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</row>
    <row r="97" spans="1:27">
      <c r="A97" s="54"/>
      <c r="B97" s="40"/>
      <c r="C97" s="40"/>
      <c r="D97" s="53"/>
      <c r="E97" s="79">
        <v>6.6699999999999995E-2</v>
      </c>
      <c r="F97" s="80"/>
      <c r="G97" s="80"/>
      <c r="H97" s="40"/>
      <c r="I97" s="40"/>
      <c r="J97" s="40"/>
      <c r="K97" s="53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</row>
    <row r="98" spans="1:27">
      <c r="A98" s="54"/>
      <c r="B98" s="40"/>
      <c r="C98" s="40"/>
      <c r="D98" s="53"/>
      <c r="E98" s="79">
        <v>6.6699999999999995E-2</v>
      </c>
      <c r="F98" s="80"/>
      <c r="G98" s="80"/>
      <c r="H98" s="40"/>
      <c r="I98" s="40"/>
      <c r="J98" s="40"/>
      <c r="K98" s="53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</row>
    <row r="99" spans="1:27">
      <c r="A99" s="54"/>
      <c r="B99" s="40"/>
      <c r="C99" s="40"/>
      <c r="D99" s="53"/>
      <c r="E99" s="79">
        <v>6.6699999999999995E-2</v>
      </c>
      <c r="F99" s="80"/>
      <c r="G99" s="80"/>
      <c r="H99" s="40"/>
      <c r="I99" s="40"/>
      <c r="J99" s="40"/>
      <c r="K99" s="53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</row>
    <row r="100" spans="1:27">
      <c r="A100" s="54"/>
      <c r="B100" s="40"/>
      <c r="C100" s="40"/>
      <c r="D100" s="53"/>
      <c r="E100" s="64">
        <v>0.2</v>
      </c>
      <c r="F100" s="65"/>
      <c r="G100" s="65"/>
      <c r="H100" s="40"/>
      <c r="I100" s="40"/>
      <c r="J100" s="40"/>
      <c r="K100" s="53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</row>
    <row r="101" spans="1:27">
      <c r="A101" s="54"/>
      <c r="B101" s="40"/>
      <c r="C101" s="40"/>
      <c r="D101" s="53"/>
      <c r="E101" s="64">
        <v>0.2</v>
      </c>
      <c r="F101" s="65"/>
      <c r="G101" s="65"/>
      <c r="H101" s="40"/>
      <c r="I101" s="40"/>
      <c r="J101" s="40"/>
      <c r="K101" s="53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</row>
    <row r="102" spans="1:27">
      <c r="A102" s="54"/>
      <c r="B102" s="40"/>
      <c r="C102" s="40"/>
      <c r="D102" s="53"/>
      <c r="E102" s="79">
        <v>6.6699999999999995E-2</v>
      </c>
      <c r="F102" s="80"/>
      <c r="G102" s="80"/>
      <c r="H102" s="40"/>
      <c r="I102" s="40"/>
      <c r="J102" s="40"/>
      <c r="K102" s="53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</row>
    <row r="103" spans="1:27">
      <c r="A103" s="54"/>
      <c r="B103" s="40"/>
      <c r="C103" s="40"/>
      <c r="D103" s="53"/>
      <c r="E103" s="79">
        <v>6.6699999999999995E-2</v>
      </c>
      <c r="F103" s="80"/>
      <c r="G103" s="80"/>
      <c r="H103" s="40"/>
      <c r="I103" s="40"/>
      <c r="J103" s="40"/>
      <c r="K103" s="53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</row>
    <row r="104" spans="1:27">
      <c r="A104" s="54"/>
      <c r="B104" s="40"/>
      <c r="C104" s="40"/>
      <c r="D104" s="53"/>
      <c r="E104" s="79">
        <v>6.6699999999999995E-2</v>
      </c>
      <c r="F104" s="80"/>
      <c r="G104" s="80"/>
      <c r="H104" s="40"/>
      <c r="I104" s="40"/>
      <c r="J104" s="40"/>
      <c r="K104" s="53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</row>
    <row r="105" spans="1:27">
      <c r="A105" s="54"/>
      <c r="B105" s="40"/>
      <c r="C105" s="40"/>
      <c r="D105" s="53"/>
      <c r="E105" s="64">
        <v>0.2</v>
      </c>
      <c r="F105" s="65"/>
      <c r="G105" s="65"/>
      <c r="H105" s="40"/>
      <c r="I105" s="40"/>
      <c r="J105" s="40"/>
      <c r="K105" s="53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</row>
    <row r="106" spans="1:27">
      <c r="A106" s="54"/>
      <c r="B106" s="40"/>
      <c r="C106" s="40"/>
      <c r="D106" s="53"/>
      <c r="E106" s="79">
        <v>6.6699999999999995E-2</v>
      </c>
      <c r="F106" s="80"/>
      <c r="G106" s="80"/>
      <c r="H106" s="40"/>
      <c r="I106" s="40"/>
      <c r="J106" s="40"/>
      <c r="K106" s="53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</row>
    <row r="107" spans="1:27">
      <c r="A107" s="54"/>
      <c r="B107" s="40"/>
      <c r="C107" s="40"/>
      <c r="D107" s="53"/>
      <c r="E107" s="79">
        <v>6.6699999999999995E-2</v>
      </c>
      <c r="F107" s="80"/>
      <c r="G107" s="80"/>
      <c r="H107" s="40"/>
      <c r="I107" s="40"/>
      <c r="J107" s="40"/>
      <c r="K107" s="53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</row>
    <row r="108" spans="1:27">
      <c r="A108" s="81"/>
      <c r="B108" s="82"/>
      <c r="C108" s="59"/>
      <c r="D108" s="60"/>
      <c r="E108" s="64">
        <v>0</v>
      </c>
      <c r="F108" s="65"/>
      <c r="G108" s="65"/>
      <c r="H108" s="59"/>
      <c r="I108" s="59"/>
      <c r="J108" s="59"/>
      <c r="K108" s="6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</row>
    <row r="109" spans="1:27" ht="15">
      <c r="A109" s="375" t="s">
        <v>10</v>
      </c>
      <c r="B109" s="375"/>
      <c r="C109" s="62" t="str">
        <f>VLOOKUP(C25,A111:C119,2,0)</f>
        <v>.</v>
      </c>
      <c r="D109" s="62"/>
      <c r="E109" s="39"/>
      <c r="F109" s="70"/>
      <c r="G109" s="40"/>
      <c r="H109" s="52"/>
      <c r="I109" s="52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</row>
    <row r="110" spans="1:27" ht="15">
      <c r="A110" s="83"/>
      <c r="B110" s="83"/>
      <c r="C110" s="62"/>
      <c r="D110" s="62"/>
      <c r="E110" s="39"/>
      <c r="F110" s="70"/>
      <c r="G110" s="40"/>
      <c r="H110" s="52"/>
      <c r="I110" s="52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</row>
    <row r="111" spans="1:27" ht="15">
      <c r="A111" s="52" t="s">
        <v>75</v>
      </c>
      <c r="B111" s="52" t="s">
        <v>76</v>
      </c>
      <c r="C111" s="62"/>
      <c r="D111" s="62" t="s">
        <v>77</v>
      </c>
      <c r="E111" s="40"/>
      <c r="F111" s="43"/>
      <c r="G111" s="39"/>
      <c r="H111" s="40"/>
      <c r="I111" s="7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</row>
    <row r="112" spans="1:27" ht="15">
      <c r="A112" s="65" t="s">
        <v>78</v>
      </c>
      <c r="B112" s="52" t="s">
        <v>79</v>
      </c>
      <c r="C112" s="62"/>
      <c r="D112" s="62" t="s">
        <v>80</v>
      </c>
      <c r="E112" s="39"/>
      <c r="F112" s="39"/>
      <c r="G112" s="39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</row>
    <row r="113" spans="1:27" ht="15">
      <c r="A113" s="65" t="s">
        <v>81</v>
      </c>
      <c r="B113" s="65" t="s">
        <v>82</v>
      </c>
      <c r="C113" s="62"/>
      <c r="D113" s="62"/>
      <c r="E113" s="40"/>
      <c r="F113" s="39" t="s">
        <v>83</v>
      </c>
      <c r="G113" s="39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</row>
    <row r="114" spans="1:27" ht="15">
      <c r="A114" s="65" t="s">
        <v>84</v>
      </c>
      <c r="B114" s="65" t="s">
        <v>85</v>
      </c>
      <c r="C114" s="62"/>
      <c r="D114" s="62"/>
      <c r="E114" s="40"/>
      <c r="F114" s="40" t="s">
        <v>86</v>
      </c>
      <c r="G114" s="40"/>
      <c r="H114" s="40"/>
      <c r="I114" s="7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</row>
    <row r="115" spans="1:27" ht="15">
      <c r="A115" s="52" t="s">
        <v>87</v>
      </c>
      <c r="B115" s="52" t="s">
        <v>88</v>
      </c>
      <c r="C115" s="62"/>
      <c r="D115" s="62"/>
      <c r="E115" s="39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</row>
    <row r="116" spans="1:27" ht="15">
      <c r="A116" s="40" t="s">
        <v>41</v>
      </c>
      <c r="B116" s="40" t="s">
        <v>89</v>
      </c>
      <c r="C116" s="71"/>
      <c r="D116" s="71"/>
      <c r="E116" s="39"/>
      <c r="F116" s="70"/>
      <c r="G116" s="40"/>
      <c r="H116" s="52"/>
      <c r="I116" s="43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</row>
    <row r="117" spans="1:27" ht="15">
      <c r="A117" s="40" t="s">
        <v>90</v>
      </c>
      <c r="B117" s="73" t="s">
        <v>91</v>
      </c>
      <c r="C117" s="39"/>
      <c r="D117" s="39"/>
      <c r="E117" s="39"/>
      <c r="F117" s="40"/>
      <c r="G117" s="39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</row>
    <row r="118" spans="1:27" ht="15">
      <c r="A118" s="40" t="s">
        <v>92</v>
      </c>
      <c r="B118" s="40" t="s">
        <v>93</v>
      </c>
      <c r="C118" s="40"/>
      <c r="D118" s="40"/>
      <c r="E118" s="39"/>
      <c r="F118" s="40"/>
      <c r="G118" s="39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</row>
    <row r="119" spans="1:27" ht="15">
      <c r="A119" s="40" t="s">
        <v>9</v>
      </c>
      <c r="B119" s="40" t="s">
        <v>9</v>
      </c>
      <c r="C119" s="40"/>
      <c r="D119" s="40"/>
      <c r="E119" s="39"/>
      <c r="F119" s="40"/>
      <c r="G119" s="39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</row>
    <row r="120" spans="1:27" ht="15">
      <c r="A120" s="40" t="s">
        <v>94</v>
      </c>
      <c r="B120" s="40" t="s">
        <v>95</v>
      </c>
      <c r="C120" s="40"/>
      <c r="D120" s="40"/>
      <c r="E120" s="39"/>
      <c r="F120" s="40"/>
      <c r="G120" s="39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</row>
    <row r="121" spans="1:27" ht="15">
      <c r="A121" s="40" t="s">
        <v>96</v>
      </c>
      <c r="B121" s="40" t="s">
        <v>97</v>
      </c>
      <c r="C121" s="40"/>
      <c r="D121" s="40"/>
      <c r="E121" s="39"/>
      <c r="F121" s="40"/>
      <c r="G121" s="39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</row>
    <row r="122" spans="1:27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</row>
    <row r="123" spans="1:27" ht="15">
      <c r="A123" s="379" t="s">
        <v>98</v>
      </c>
      <c r="B123" s="380"/>
      <c r="C123" s="84" t="str">
        <f>VLOOKUP(C29,A124:D136,2,0)</f>
        <v>Weld Dressed-Primed</v>
      </c>
      <c r="D123" s="84"/>
      <c r="E123" s="85"/>
      <c r="F123" s="40"/>
      <c r="G123" s="376">
        <f>VLOOKUP(C29,A124:G135,7,FALSE)</f>
        <v>0.2</v>
      </c>
      <c r="H123" s="377"/>
      <c r="I123" s="40">
        <f>G123*65</f>
        <v>13</v>
      </c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</row>
    <row r="124" spans="1:27" ht="15">
      <c r="A124" s="86" t="s">
        <v>99</v>
      </c>
      <c r="B124" s="87" t="s">
        <v>100</v>
      </c>
      <c r="C124" s="38"/>
      <c r="D124" s="38"/>
      <c r="E124" s="74"/>
      <c r="F124" s="40"/>
      <c r="G124" s="376">
        <v>0.16700000000000001</v>
      </c>
      <c r="H124" s="377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</row>
    <row r="125" spans="1:27" ht="15">
      <c r="A125" s="86" t="s">
        <v>101</v>
      </c>
      <c r="B125" s="87" t="s">
        <v>102</v>
      </c>
      <c r="C125" s="38"/>
      <c r="D125" s="38"/>
      <c r="E125" s="88"/>
      <c r="F125" s="40"/>
      <c r="G125" s="376">
        <v>3.32E-2</v>
      </c>
      <c r="H125" s="377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</row>
    <row r="126" spans="1:27" ht="15">
      <c r="A126" s="86" t="s">
        <v>103</v>
      </c>
      <c r="B126" s="87" t="s">
        <v>104</v>
      </c>
      <c r="C126" s="38"/>
      <c r="D126" s="38"/>
      <c r="E126" s="74"/>
      <c r="F126" s="40"/>
      <c r="G126" s="376">
        <v>0.1</v>
      </c>
      <c r="H126" s="377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</row>
    <row r="127" spans="1:27" ht="15">
      <c r="A127" s="86" t="s">
        <v>105</v>
      </c>
      <c r="B127" s="87" t="s">
        <v>106</v>
      </c>
      <c r="C127" s="38"/>
      <c r="D127" s="38"/>
      <c r="E127" s="74"/>
      <c r="F127" s="40"/>
      <c r="G127" s="376">
        <v>6.7000000000000004E-2</v>
      </c>
      <c r="H127" s="377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</row>
    <row r="128" spans="1:27" ht="15">
      <c r="A128" s="86" t="s">
        <v>107</v>
      </c>
      <c r="B128" s="87" t="s">
        <v>108</v>
      </c>
      <c r="C128" s="38"/>
      <c r="D128" s="38"/>
      <c r="E128" s="74"/>
      <c r="F128" s="40"/>
      <c r="G128" s="376">
        <v>0.1166</v>
      </c>
      <c r="H128" s="377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</row>
    <row r="129" spans="1:27" ht="15">
      <c r="A129" s="44" t="s">
        <v>109</v>
      </c>
      <c r="B129" s="89" t="s">
        <v>110</v>
      </c>
      <c r="C129" s="90"/>
      <c r="D129" s="90"/>
      <c r="E129" s="74"/>
      <c r="F129" s="40"/>
      <c r="G129" s="376">
        <v>0.16700000000000001</v>
      </c>
      <c r="H129" s="376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</row>
    <row r="130" spans="1:27" ht="15">
      <c r="A130" s="86" t="s">
        <v>111</v>
      </c>
      <c r="B130" s="87" t="s">
        <v>112</v>
      </c>
      <c r="C130" s="87"/>
      <c r="D130" s="87"/>
      <c r="E130" s="74"/>
      <c r="F130" s="40"/>
      <c r="G130" s="376">
        <f>3/60</f>
        <v>0.05</v>
      </c>
      <c r="H130" s="377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</row>
    <row r="131" spans="1:27" ht="15">
      <c r="A131" s="86" t="s">
        <v>113</v>
      </c>
      <c r="B131" s="87" t="s">
        <v>114</v>
      </c>
      <c r="C131" s="87"/>
      <c r="D131" s="87"/>
      <c r="E131" s="74"/>
      <c r="F131" s="40"/>
      <c r="G131" s="376">
        <f>6/60</f>
        <v>0.1</v>
      </c>
      <c r="H131" s="377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</row>
    <row r="132" spans="1:27" ht="15">
      <c r="A132" s="44" t="s">
        <v>78</v>
      </c>
      <c r="B132" s="89" t="s">
        <v>115</v>
      </c>
      <c r="C132" s="39"/>
      <c r="D132" s="39"/>
      <c r="E132" s="74"/>
      <c r="F132" s="40"/>
      <c r="G132" s="376">
        <f>6/60</f>
        <v>0.1</v>
      </c>
      <c r="H132" s="377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</row>
    <row r="133" spans="1:27">
      <c r="A133" s="86" t="s">
        <v>116</v>
      </c>
      <c r="B133" s="87" t="s">
        <v>117</v>
      </c>
      <c r="C133" s="87"/>
      <c r="D133" s="87"/>
      <c r="E133" s="91"/>
      <c r="F133" s="40"/>
      <c r="G133" s="376">
        <f>9/60</f>
        <v>0.15</v>
      </c>
      <c r="H133" s="377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</row>
    <row r="134" spans="1:27">
      <c r="A134" s="44" t="s">
        <v>16</v>
      </c>
      <c r="B134" s="89" t="s">
        <v>118</v>
      </c>
      <c r="C134" s="92"/>
      <c r="D134" s="92"/>
      <c r="E134" s="91"/>
      <c r="F134" s="40"/>
      <c r="G134" s="376">
        <f>12/60</f>
        <v>0.2</v>
      </c>
      <c r="H134" s="377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</row>
    <row r="135" spans="1:27">
      <c r="A135" s="44" t="s">
        <v>119</v>
      </c>
      <c r="B135" s="89" t="s">
        <v>120</v>
      </c>
      <c r="C135" s="93"/>
      <c r="D135" s="93"/>
      <c r="E135" s="91"/>
      <c r="F135" s="40"/>
      <c r="G135" s="376">
        <v>4</v>
      </c>
      <c r="H135" s="377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</row>
    <row r="136" spans="1:27" ht="15">
      <c r="A136" s="46" t="s">
        <v>121</v>
      </c>
      <c r="B136" s="94" t="s">
        <v>122</v>
      </c>
      <c r="C136" s="95"/>
      <c r="D136" s="95"/>
      <c r="E136" s="96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</row>
    <row r="137" spans="1:27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</row>
    <row r="138" spans="1:27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</row>
    <row r="139" spans="1:27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</row>
    <row r="140" spans="1:27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</row>
    <row r="141" spans="1:27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</row>
  </sheetData>
  <sheetProtection selectLockedCells="1" autoFilter="0"/>
  <dataConsolidate/>
  <mergeCells count="102">
    <mergeCell ref="G134:H134"/>
    <mergeCell ref="G135:H135"/>
    <mergeCell ref="G125:H125"/>
    <mergeCell ref="G126:H126"/>
    <mergeCell ref="G127:H127"/>
    <mergeCell ref="G128:H128"/>
    <mergeCell ref="G129:H129"/>
    <mergeCell ref="G130:H130"/>
    <mergeCell ref="G131:H131"/>
    <mergeCell ref="G132:H132"/>
    <mergeCell ref="A82:B82"/>
    <mergeCell ref="G133:H133"/>
    <mergeCell ref="I93:J93"/>
    <mergeCell ref="A109:B109"/>
    <mergeCell ref="A123:B123"/>
    <mergeCell ref="G123:H123"/>
    <mergeCell ref="G124:H124"/>
    <mergeCell ref="E93:G93"/>
    <mergeCell ref="A49:B49"/>
    <mergeCell ref="A50:B50"/>
    <mergeCell ref="G53:H53"/>
    <mergeCell ref="A57:C57"/>
    <mergeCell ref="A76:B76"/>
    <mergeCell ref="A46:B46"/>
    <mergeCell ref="A47:B47"/>
    <mergeCell ref="C30:D30"/>
    <mergeCell ref="C31:D31"/>
    <mergeCell ref="A34:B34"/>
    <mergeCell ref="C37:Z37"/>
    <mergeCell ref="C38:Z38"/>
    <mergeCell ref="A41:B41"/>
    <mergeCell ref="A44:B44"/>
    <mergeCell ref="AA18:AB18"/>
    <mergeCell ref="A19:B19"/>
    <mergeCell ref="A16:B16"/>
    <mergeCell ref="C16:D16"/>
    <mergeCell ref="AA16:AC16"/>
    <mergeCell ref="AF35:AG35"/>
    <mergeCell ref="A36:B36"/>
    <mergeCell ref="C36:Z36"/>
    <mergeCell ref="C24:D24"/>
    <mergeCell ref="C25:D25"/>
    <mergeCell ref="C26:D26"/>
    <mergeCell ref="C27:D27"/>
    <mergeCell ref="C28:D28"/>
    <mergeCell ref="C29:D29"/>
    <mergeCell ref="C23:D23"/>
    <mergeCell ref="L23:M23"/>
    <mergeCell ref="A18:B18"/>
    <mergeCell ref="C18:D18"/>
    <mergeCell ref="C21:D21"/>
    <mergeCell ref="F20:H20"/>
    <mergeCell ref="C20:D20"/>
    <mergeCell ref="C22:D22"/>
    <mergeCell ref="X18:Z18"/>
    <mergeCell ref="AD16:AF16"/>
    <mergeCell ref="A17:B17"/>
    <mergeCell ref="C17:D17"/>
    <mergeCell ref="AK12:AL12"/>
    <mergeCell ref="D13:P13"/>
    <mergeCell ref="AI13:AJ13"/>
    <mergeCell ref="AK13:AL13"/>
    <mergeCell ref="A15:B15"/>
    <mergeCell ref="C15:D15"/>
    <mergeCell ref="A12:C12"/>
    <mergeCell ref="E12:F12"/>
    <mergeCell ref="AD14:AE14"/>
    <mergeCell ref="AF14:AG14"/>
    <mergeCell ref="AD15:AE15"/>
    <mergeCell ref="AF15:AG15"/>
    <mergeCell ref="AI10:AJ10"/>
    <mergeCell ref="AK10:AL10"/>
    <mergeCell ref="G12:H12"/>
    <mergeCell ref="I12:J12"/>
    <mergeCell ref="L12:M12"/>
    <mergeCell ref="AI12:AJ12"/>
    <mergeCell ref="AI11:AJ11"/>
    <mergeCell ref="AK11:AL11"/>
    <mergeCell ref="C10:K10"/>
    <mergeCell ref="C11:K11"/>
    <mergeCell ref="A9:B9"/>
    <mergeCell ref="AI5:AK5"/>
    <mergeCell ref="AL5:AN5"/>
    <mergeCell ref="C8:K8"/>
    <mergeCell ref="C9:K9"/>
    <mergeCell ref="AI9:AJ9"/>
    <mergeCell ref="AK9:AL9"/>
    <mergeCell ref="A5:K6"/>
    <mergeCell ref="AI6:AK6"/>
    <mergeCell ref="AL6:AN6"/>
    <mergeCell ref="A7:B7"/>
    <mergeCell ref="C7:K7"/>
    <mergeCell ref="A8:B8"/>
    <mergeCell ref="AI3:AK3"/>
    <mergeCell ref="AL3:AN3"/>
    <mergeCell ref="AI4:AK4"/>
    <mergeCell ref="AL4:AN4"/>
    <mergeCell ref="A2:B2"/>
    <mergeCell ref="C2:O2"/>
    <mergeCell ref="A3:B3"/>
    <mergeCell ref="C3:K3"/>
    <mergeCell ref="U3:V3"/>
  </mergeCells>
  <phoneticPr fontId="28" type="noConversion"/>
  <dataValidations count="16">
    <dataValidation type="list" allowBlank="1" showInputMessage="1" showErrorMessage="1" sqref="C20:D20" xr:uid="{00000000-0002-0000-0000-000000000000}">
      <formula1>"SFH,NA"</formula1>
    </dataValidation>
    <dataValidation allowBlank="1" showInputMessage="1" showErrorMessage="1" errorTitle="CHECK DATA" sqref="F20:H20" xr:uid="{00000000-0002-0000-0000-000001000000}"/>
    <dataValidation allowBlank="1" showInputMessage="1" showErrorMessage="1" sqref="C27:D31 C32:C33" xr:uid="{00000000-0002-0000-0000-000002000000}"/>
    <dataValidation type="list" showInputMessage="1" showErrorMessage="1" sqref="C22:D22" xr:uid="{00000000-0002-0000-0000-000003000000}">
      <formula1>"UNI,NA"</formula1>
    </dataValidation>
    <dataValidation type="list" showInputMessage="1" showErrorMessage="1" sqref="C15:D15" xr:uid="{00000000-0002-0000-0000-000004000000}">
      <formula1>"1.1,1.5"</formula1>
    </dataValidation>
    <dataValidation type="list" showInputMessage="1" showErrorMessage="1" sqref="C16:D16" xr:uid="{00000000-0002-0000-0000-000005000000}">
      <formula1>"Z,G"</formula1>
    </dataValidation>
    <dataValidation type="list" showInputMessage="1" showErrorMessage="1" sqref="D72" xr:uid="{00000000-0002-0000-0000-000006000000}">
      <formula1>"Zinc anneal,Galvabond,S/Steel"</formula1>
    </dataValidation>
    <dataValidation type="list" showInputMessage="1" showErrorMessage="1" sqref="D71" xr:uid="{00000000-0002-0000-0000-000007000000}">
      <formula1>"1.1,1.4,1.5"</formula1>
    </dataValidation>
    <dataValidation type="list" showInputMessage="1" showErrorMessage="1" sqref="D76" xr:uid="{00000000-0002-0000-0000-000008000000}">
      <formula1>"Welded, SF B/P"</formula1>
    </dataValidation>
    <dataValidation type="list" showInputMessage="1" showErrorMessage="1" sqref="D81" xr:uid="{00000000-0002-0000-0000-000009000000}">
      <formula1>"None, STD, "</formula1>
    </dataValidation>
    <dataValidation type="list" showInputMessage="1" showErrorMessage="1" sqref="D77" xr:uid="{00000000-0002-0000-0000-00000A000000}">
      <formula1>"Standard,LW201,EFCO-507,Special,None"</formula1>
    </dataValidation>
    <dataValidation showInputMessage="1" showErrorMessage="1" sqref="C38 C91:D92 D74" xr:uid="{00000000-0002-0000-0000-00000B000000}"/>
    <dataValidation type="list" showInputMessage="1" showErrorMessage="1" sqref="D80" xr:uid="{00000000-0002-0000-0000-00000C000000}">
      <formula1>"None, 19mm, 22mm"</formula1>
    </dataValidation>
    <dataValidation type="list" showInputMessage="1" showErrorMessage="1" sqref="D136" xr:uid="{00000000-0002-0000-0000-00000D000000}">
      <formula1>"Left Hand, Right Hand, Double"</formula1>
    </dataValidation>
    <dataValidation type="list" allowBlank="1" showInputMessage="1" showErrorMessage="1" sqref="C24:D24" xr:uid="{00000000-0002-0000-0000-00000E000000}">
      <formula1>"D/B-7,D/B-3.5,NA"</formula1>
    </dataValidation>
    <dataValidation type="list" allowBlank="1" showInputMessage="1" showErrorMessage="1" sqref="C21:D21" xr:uid="{00000000-0002-0000-0000-00000F000000}">
      <formula1>"0,2,3,4"</formula1>
    </dataValidation>
  </dataValidations>
  <printOptions gridLines="1"/>
  <pageMargins left="0.35" right="0.33" top="0.5" bottom="0.47" header="0.5" footer="0.5"/>
  <pageSetup paperSize="9"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O103"/>
  <sheetViews>
    <sheetView showGridLines="0" topLeftCell="A32" workbookViewId="0">
      <selection activeCell="I47" sqref="I47:J47"/>
    </sheetView>
  </sheetViews>
  <sheetFormatPr defaultColWidth="3.6640625" defaultRowHeight="13.2"/>
  <cols>
    <col min="1" max="1" width="3.6640625" style="191" customWidth="1"/>
    <col min="2" max="2" width="8" style="191" customWidth="1"/>
    <col min="3" max="3" width="8.33203125" style="191" customWidth="1"/>
    <col min="4" max="4" width="5" style="191" customWidth="1"/>
    <col min="5" max="5" width="3.33203125" style="191" customWidth="1"/>
    <col min="6" max="6" width="2.5546875" style="191" customWidth="1"/>
    <col min="7" max="7" width="4.109375" style="191" customWidth="1"/>
    <col min="8" max="8" width="2.44140625" style="191" customWidth="1"/>
    <col min="9" max="9" width="3.6640625" style="191" customWidth="1"/>
    <col min="10" max="10" width="2.5546875" style="191" customWidth="1"/>
    <col min="11" max="11" width="3.5546875" style="191" customWidth="1"/>
    <col min="12" max="12" width="2" style="191" customWidth="1"/>
    <col min="13" max="13" width="3.33203125" style="191" customWidth="1"/>
    <col min="14" max="14" width="3.5546875" style="191" customWidth="1"/>
    <col min="15" max="15" width="3.44140625" style="191" customWidth="1"/>
    <col min="16" max="16" width="3.33203125" style="191" customWidth="1"/>
    <col min="17" max="17" width="4.33203125" style="191" customWidth="1"/>
    <col min="18" max="19" width="3.6640625" style="191" customWidth="1"/>
    <col min="20" max="20" width="2.5546875" style="191" customWidth="1"/>
    <col min="21" max="27" width="3.6640625" style="191" customWidth="1"/>
    <col min="28" max="28" width="5" style="191" bestFit="1" customWidth="1"/>
    <col min="29" max="29" width="11.109375" style="191" bestFit="1" customWidth="1"/>
    <col min="30" max="30" width="33.44140625" style="191" bestFit="1" customWidth="1"/>
    <col min="31" max="31" width="11.109375" style="191" bestFit="1" customWidth="1"/>
    <col min="32" max="32" width="5.33203125" style="191" bestFit="1" customWidth="1"/>
    <col min="33" max="33" width="7.44140625" style="191" bestFit="1" customWidth="1"/>
    <col min="34" max="34" width="9.109375" style="191" bestFit="1" customWidth="1"/>
    <col min="35" max="35" width="11.44140625" style="191" bestFit="1" customWidth="1"/>
    <col min="36" max="36" width="5.5546875" style="191" bestFit="1" customWidth="1"/>
    <col min="37" max="37" width="10.88671875" style="191" bestFit="1" customWidth="1"/>
    <col min="38" max="38" width="8.109375" style="191" bestFit="1" customWidth="1"/>
    <col min="39" max="39" width="7.6640625" style="191" bestFit="1" customWidth="1"/>
    <col min="40" max="40" width="5.6640625" style="191" bestFit="1" customWidth="1"/>
    <col min="41" max="41" width="7.6640625" style="191" bestFit="1" customWidth="1"/>
    <col min="42" max="16384" width="3.6640625" style="191"/>
  </cols>
  <sheetData>
    <row r="1" spans="1:41">
      <c r="A1" s="183"/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5"/>
      <c r="AB1" s="186"/>
      <c r="AC1" s="186"/>
      <c r="AD1" s="187"/>
      <c r="AE1" s="187"/>
      <c r="AF1" s="187"/>
      <c r="AG1" s="187"/>
      <c r="AH1" s="188"/>
      <c r="AI1" s="187"/>
      <c r="AJ1" s="187"/>
      <c r="AK1" s="189"/>
      <c r="AL1" s="190"/>
      <c r="AM1" s="187"/>
      <c r="AN1" s="187"/>
      <c r="AO1" s="187"/>
    </row>
    <row r="2" spans="1:41" ht="17.399999999999999">
      <c r="A2" s="384"/>
      <c r="B2" s="385"/>
      <c r="C2" s="385"/>
      <c r="D2" s="386">
        <f>profile!C2</f>
        <v>0</v>
      </c>
      <c r="E2" s="386"/>
      <c r="F2" s="386"/>
      <c r="G2" s="386"/>
      <c r="H2" s="386"/>
      <c r="I2" s="386"/>
      <c r="J2" s="386"/>
      <c r="K2" s="386"/>
      <c r="L2" s="386"/>
      <c r="M2" s="387"/>
      <c r="N2" s="192"/>
      <c r="O2" s="192"/>
      <c r="P2" s="192"/>
      <c r="Q2" s="186"/>
      <c r="R2" s="193" t="str">
        <f>profile!A4</f>
        <v>STANDARD SINGLE REBATED</v>
      </c>
      <c r="S2" s="194"/>
      <c r="T2" s="184"/>
      <c r="U2" s="194"/>
      <c r="V2" s="388"/>
      <c r="W2" s="388"/>
      <c r="X2" s="388"/>
      <c r="Y2" s="389"/>
      <c r="Z2" s="195"/>
      <c r="AA2" s="196"/>
      <c r="AB2" s="197"/>
      <c r="AC2" s="197"/>
      <c r="AD2" s="198"/>
      <c r="AE2" s="199"/>
      <c r="AF2" s="198"/>
      <c r="AG2" s="199"/>
      <c r="AH2" s="200"/>
      <c r="AI2" s="201"/>
      <c r="AJ2" s="202"/>
      <c r="AK2" s="203"/>
      <c r="AL2" s="204"/>
      <c r="AM2" s="205"/>
      <c r="AN2" s="205"/>
      <c r="AO2" s="201"/>
    </row>
    <row r="3" spans="1:41">
      <c r="A3" s="390"/>
      <c r="B3" s="391"/>
      <c r="C3" s="391"/>
      <c r="D3" s="392"/>
      <c r="E3" s="392"/>
      <c r="F3" s="392"/>
      <c r="G3" s="392"/>
      <c r="H3" s="392"/>
      <c r="I3" s="392"/>
      <c r="J3" s="206"/>
      <c r="K3" s="206"/>
      <c r="L3" s="206"/>
      <c r="M3" s="207"/>
      <c r="N3" s="206"/>
      <c r="O3" s="206"/>
      <c r="P3" s="206"/>
      <c r="Q3" s="186"/>
      <c r="R3" s="208"/>
      <c r="S3" s="186"/>
      <c r="T3" s="186"/>
      <c r="U3" s="186"/>
      <c r="V3" s="186"/>
      <c r="W3" s="393"/>
      <c r="X3" s="393"/>
      <c r="Y3" s="394"/>
      <c r="Z3" s="209"/>
      <c r="AA3" s="210"/>
      <c r="AB3" s="197"/>
      <c r="AC3" s="197"/>
      <c r="AD3" s="198"/>
      <c r="AE3" s="199"/>
      <c r="AF3" s="198"/>
      <c r="AG3" s="199"/>
      <c r="AH3" s="200"/>
      <c r="AI3" s="201"/>
      <c r="AJ3" s="202"/>
      <c r="AK3" s="203"/>
      <c r="AL3" s="204"/>
      <c r="AM3" s="211"/>
      <c r="AN3" s="205"/>
      <c r="AO3" s="201"/>
    </row>
    <row r="4" spans="1:41">
      <c r="A4" s="212"/>
      <c r="B4" s="213"/>
      <c r="C4" s="213"/>
      <c r="D4" s="395"/>
      <c r="E4" s="395"/>
      <c r="F4" s="395"/>
      <c r="G4" s="395"/>
      <c r="H4" s="395"/>
      <c r="I4" s="395"/>
      <c r="J4" s="395"/>
      <c r="K4" s="395"/>
      <c r="L4" s="395"/>
      <c r="M4" s="396"/>
      <c r="N4" s="214"/>
      <c r="O4" s="214"/>
      <c r="P4" s="214"/>
      <c r="Q4" s="186"/>
      <c r="R4" s="215"/>
      <c r="S4" s="216"/>
      <c r="T4" s="216"/>
      <c r="U4" s="216"/>
      <c r="V4" s="217"/>
      <c r="W4" s="397">
        <v>0</v>
      </c>
      <c r="X4" s="397"/>
      <c r="Y4" s="398"/>
      <c r="Z4" s="218"/>
      <c r="AA4" s="219"/>
      <c r="AB4" s="197"/>
      <c r="AC4" s="197"/>
      <c r="AD4" s="198"/>
      <c r="AE4" s="199"/>
      <c r="AF4" s="198"/>
      <c r="AG4" s="199"/>
      <c r="AH4" s="200"/>
      <c r="AI4" s="201"/>
      <c r="AJ4" s="202"/>
      <c r="AK4" s="203"/>
      <c r="AL4" s="204"/>
      <c r="AM4" s="205"/>
      <c r="AN4" s="205"/>
      <c r="AO4" s="201"/>
    </row>
    <row r="5" spans="1:41" ht="15" customHeight="1">
      <c r="A5" s="220"/>
      <c r="B5" s="182"/>
      <c r="C5" s="186"/>
      <c r="D5" s="395"/>
      <c r="E5" s="395"/>
      <c r="F5" s="395"/>
      <c r="G5" s="395"/>
      <c r="H5" s="395"/>
      <c r="I5" s="395"/>
      <c r="J5" s="395"/>
      <c r="K5" s="395"/>
      <c r="L5" s="395"/>
      <c r="M5" s="396"/>
      <c r="N5" s="214"/>
      <c r="O5" s="214"/>
      <c r="P5" s="214"/>
      <c r="Q5" s="186"/>
      <c r="R5" s="186"/>
      <c r="S5" s="186"/>
      <c r="T5" s="186"/>
      <c r="U5" s="186"/>
      <c r="V5" s="186"/>
      <c r="W5" s="186"/>
      <c r="X5" s="186"/>
      <c r="Y5" s="186"/>
      <c r="Z5" s="186"/>
      <c r="AA5" s="221"/>
      <c r="AB5" s="197"/>
      <c r="AC5" s="197"/>
      <c r="AD5" s="198"/>
      <c r="AE5" s="199"/>
      <c r="AF5" s="198"/>
      <c r="AG5" s="199"/>
      <c r="AH5" s="200"/>
      <c r="AI5" s="201"/>
      <c r="AJ5" s="202"/>
      <c r="AK5" s="203"/>
      <c r="AL5" s="204"/>
      <c r="AM5" s="205"/>
      <c r="AN5" s="205"/>
      <c r="AO5" s="201"/>
    </row>
    <row r="6" spans="1:41" ht="15">
      <c r="A6" s="220"/>
      <c r="B6" s="182"/>
      <c r="C6" s="186"/>
      <c r="D6" s="395"/>
      <c r="E6" s="395"/>
      <c r="F6" s="395"/>
      <c r="G6" s="395"/>
      <c r="H6" s="395"/>
      <c r="I6" s="395"/>
      <c r="J6" s="395"/>
      <c r="K6" s="395"/>
      <c r="L6" s="395"/>
      <c r="M6" s="396"/>
      <c r="N6" s="214"/>
      <c r="O6" s="214"/>
      <c r="P6" s="214"/>
      <c r="Q6" s="186"/>
      <c r="R6" s="186"/>
      <c r="S6" s="186"/>
      <c r="T6" s="186"/>
      <c r="U6" s="186"/>
      <c r="V6" s="186"/>
      <c r="W6" s="186"/>
      <c r="X6" s="186"/>
      <c r="Y6" s="186"/>
      <c r="Z6" s="186"/>
      <c r="AA6" s="221"/>
      <c r="AB6" s="197"/>
      <c r="AC6" s="197"/>
      <c r="AD6" s="198"/>
      <c r="AE6" s="199"/>
      <c r="AF6" s="198"/>
      <c r="AG6" s="199"/>
      <c r="AH6" s="200"/>
      <c r="AI6" s="201"/>
      <c r="AJ6" s="202"/>
      <c r="AK6" s="203"/>
      <c r="AL6" s="204"/>
      <c r="AM6" s="205"/>
      <c r="AN6" s="201"/>
      <c r="AO6" s="205"/>
    </row>
    <row r="7" spans="1:41" ht="15">
      <c r="A7" s="222"/>
      <c r="B7" s="223"/>
      <c r="C7" s="216"/>
      <c r="D7" s="399"/>
      <c r="E7" s="399"/>
      <c r="F7" s="399"/>
      <c r="G7" s="399"/>
      <c r="H7" s="399"/>
      <c r="I7" s="399"/>
      <c r="J7" s="399"/>
      <c r="K7" s="399"/>
      <c r="L7" s="399"/>
      <c r="M7" s="400"/>
      <c r="N7" s="214"/>
      <c r="O7" s="214"/>
      <c r="P7" s="214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221"/>
      <c r="AB7" s="197"/>
      <c r="AC7" s="197"/>
      <c r="AD7" s="198"/>
      <c r="AE7" s="199"/>
      <c r="AF7" s="198"/>
      <c r="AG7" s="199"/>
      <c r="AH7" s="200"/>
      <c r="AI7" s="201"/>
      <c r="AJ7" s="202"/>
      <c r="AK7" s="203"/>
      <c r="AL7" s="224"/>
      <c r="AM7" s="225"/>
      <c r="AN7" s="225"/>
      <c r="AO7" s="201"/>
    </row>
    <row r="8" spans="1:41" ht="15">
      <c r="A8" s="220"/>
      <c r="B8" s="182"/>
      <c r="C8" s="186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14"/>
      <c r="O8" s="214"/>
      <c r="P8" s="214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221"/>
      <c r="AB8" s="197"/>
      <c r="AC8" s="197"/>
      <c r="AD8" s="198"/>
      <c r="AE8" s="199"/>
      <c r="AF8" s="198"/>
      <c r="AG8" s="199"/>
      <c r="AH8" s="200"/>
      <c r="AI8" s="201"/>
      <c r="AJ8" s="202"/>
      <c r="AK8" s="203"/>
      <c r="AL8" s="204"/>
      <c r="AM8" s="205"/>
      <c r="AN8" s="205"/>
      <c r="AO8" s="201"/>
    </row>
    <row r="9" spans="1:41">
      <c r="A9" s="227"/>
      <c r="B9" s="186"/>
      <c r="C9" s="228"/>
      <c r="D9" s="186"/>
      <c r="E9" s="186"/>
      <c r="F9" s="186"/>
      <c r="G9" s="186"/>
      <c r="H9" s="186"/>
      <c r="I9" s="186" t="str">
        <f>IF(O39=12,"",O39)</f>
        <v/>
      </c>
      <c r="J9" s="401" t="str">
        <f>IF(X39=12,"",X39)</f>
        <v/>
      </c>
      <c r="K9" s="401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221"/>
      <c r="AB9" s="197"/>
      <c r="AC9" s="197"/>
      <c r="AD9" s="198"/>
      <c r="AF9" s="198"/>
      <c r="AG9" s="199"/>
      <c r="AH9" s="200"/>
      <c r="AI9" s="201"/>
      <c r="AJ9" s="202"/>
      <c r="AK9" s="203"/>
      <c r="AL9" s="204"/>
      <c r="AM9" s="205"/>
      <c r="AN9" s="205"/>
      <c r="AO9" s="201"/>
    </row>
    <row r="10" spans="1:41" ht="17.399999999999999">
      <c r="A10" s="402">
        <f>profile!A12</f>
        <v>0</v>
      </c>
      <c r="B10" s="403"/>
      <c r="C10" s="403"/>
      <c r="D10" s="186"/>
      <c r="E10" s="229" t="str">
        <f>profile!C29</f>
        <v>WDP</v>
      </c>
      <c r="F10" s="186"/>
      <c r="G10" s="230">
        <f>profile!E12</f>
        <v>0</v>
      </c>
      <c r="H10" s="404">
        <f>profile!G12</f>
        <v>114</v>
      </c>
      <c r="I10" s="404"/>
      <c r="J10" s="405">
        <f>profile!I12</f>
        <v>2000</v>
      </c>
      <c r="K10" s="405"/>
      <c r="L10" s="231" t="s">
        <v>0</v>
      </c>
      <c r="M10" s="406">
        <f>profile!L12</f>
        <v>800</v>
      </c>
      <c r="N10" s="406"/>
      <c r="O10" s="230" t="e">
        <f>profile!N12</f>
        <v>#REF!</v>
      </c>
      <c r="P10" s="232">
        <f>profile!C21</f>
        <v>2</v>
      </c>
      <c r="Q10" s="404" t="str">
        <f>profile!P12</f>
        <v>SFH</v>
      </c>
      <c r="R10" s="404"/>
      <c r="S10" s="228" t="str">
        <f>IF(profile!C27="CS","CS",IF(profile!C27="TF","TF",IF(profile!C27="FF","FF",".")))</f>
        <v>.</v>
      </c>
      <c r="T10" s="228"/>
      <c r="U10" s="228"/>
      <c r="V10" s="228"/>
      <c r="W10" s="228"/>
      <c r="X10" s="228"/>
      <c r="Y10" s="228"/>
      <c r="Z10" s="186"/>
      <c r="AA10" s="221"/>
      <c r="AB10" s="197"/>
      <c r="AC10" s="197"/>
      <c r="AD10" s="198"/>
      <c r="AE10" s="199"/>
      <c r="AF10" s="198"/>
      <c r="AG10" s="199"/>
      <c r="AH10" s="200"/>
      <c r="AI10" s="201"/>
      <c r="AJ10" s="202"/>
      <c r="AK10" s="203"/>
      <c r="AL10" s="204"/>
      <c r="AM10" s="205"/>
      <c r="AN10" s="205"/>
      <c r="AO10" s="201"/>
    </row>
    <row r="11" spans="1:41" ht="13.8">
      <c r="A11" s="227" t="str">
        <f>IF(D11=".","","Note………….")</f>
        <v>Note………….</v>
      </c>
      <c r="B11" s="186"/>
      <c r="C11" s="186"/>
      <c r="D11" s="407">
        <f>profile!D13</f>
        <v>0</v>
      </c>
      <c r="E11" s="407"/>
      <c r="F11" s="407"/>
      <c r="G11" s="407"/>
      <c r="H11" s="407"/>
      <c r="I11" s="407"/>
      <c r="J11" s="407"/>
      <c r="K11" s="407"/>
      <c r="L11" s="407"/>
      <c r="M11" s="407"/>
      <c r="N11" s="407"/>
      <c r="O11" s="407"/>
      <c r="P11" s="407"/>
      <c r="Q11" s="407"/>
      <c r="R11" s="186"/>
      <c r="S11" s="186"/>
      <c r="T11" s="186"/>
      <c r="U11" s="186"/>
      <c r="V11" s="186"/>
      <c r="W11" s="186"/>
      <c r="X11" s="186"/>
      <c r="Y11" s="186"/>
      <c r="Z11" s="186"/>
      <c r="AA11" s="221"/>
      <c r="AB11" s="197"/>
      <c r="AC11" s="197"/>
      <c r="AD11" s="198"/>
      <c r="AE11" s="199"/>
      <c r="AF11" s="233"/>
      <c r="AG11" s="199"/>
      <c r="AH11" s="200"/>
      <c r="AI11" s="201"/>
      <c r="AJ11" s="202"/>
      <c r="AK11" s="203"/>
      <c r="AL11" s="204"/>
      <c r="AM11" s="201"/>
      <c r="AN11" s="201"/>
      <c r="AO11" s="201"/>
    </row>
    <row r="12" spans="1:41" ht="15.75" customHeight="1">
      <c r="A12" s="234"/>
      <c r="B12" s="235"/>
      <c r="C12" s="235"/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1"/>
      <c r="O12" s="401"/>
      <c r="P12" s="401"/>
      <c r="Q12" s="401"/>
      <c r="R12" s="186"/>
      <c r="S12" s="186"/>
      <c r="T12" s="186"/>
      <c r="U12" s="186"/>
      <c r="V12" s="186"/>
      <c r="W12" s="186"/>
      <c r="X12" s="186"/>
      <c r="Y12" s="186"/>
      <c r="Z12" s="186"/>
      <c r="AA12" s="221"/>
      <c r="AB12" s="197"/>
      <c r="AC12" s="197"/>
      <c r="AD12" s="198"/>
      <c r="AE12" s="199"/>
      <c r="AF12" s="186"/>
      <c r="AG12" s="197"/>
      <c r="AH12" s="197"/>
      <c r="AI12" s="198"/>
      <c r="AJ12" s="202"/>
      <c r="AK12" s="203"/>
      <c r="AL12" s="204"/>
      <c r="AM12" s="201"/>
      <c r="AN12" s="201"/>
      <c r="AO12" s="225"/>
    </row>
    <row r="13" spans="1:41" ht="15">
      <c r="A13" s="236" t="str">
        <f>IF(OR(D13="UNIVERSAL",),"Type of Striker:",IF(D13=".",""))</f>
        <v>Type of Striker:</v>
      </c>
      <c r="B13" s="235"/>
      <c r="C13" s="237"/>
      <c r="D13" s="238" t="str">
        <f>profile!C93</f>
        <v>UNIVERSAL</v>
      </c>
      <c r="E13" s="238"/>
      <c r="F13" s="238"/>
      <c r="G13" s="238"/>
      <c r="H13" s="235" t="str">
        <f>IF(profile!I22="YES",profile!E22,"")</f>
        <v/>
      </c>
      <c r="I13" s="182"/>
      <c r="J13" s="182"/>
      <c r="K13" s="186"/>
      <c r="L13" s="186"/>
      <c r="M13" s="186" t="str">
        <f>IF(profile!P22="YES",profile!K22,"")</f>
        <v/>
      </c>
      <c r="N13" s="186"/>
      <c r="O13" s="186"/>
      <c r="P13" s="239"/>
      <c r="Q13" s="239"/>
      <c r="R13" s="239"/>
      <c r="S13" s="239"/>
      <c r="T13" s="239"/>
      <c r="U13" s="239"/>
      <c r="V13" s="186"/>
      <c r="W13" s="186"/>
      <c r="X13" s="186"/>
      <c r="Y13" s="186"/>
      <c r="Z13" s="186"/>
      <c r="AA13" s="221"/>
      <c r="AB13" s="197"/>
      <c r="AC13" s="197"/>
      <c r="AD13" s="198"/>
      <c r="AE13" s="199"/>
      <c r="AF13" s="240"/>
      <c r="AG13" s="197"/>
      <c r="AH13" s="197"/>
      <c r="AI13" s="198"/>
      <c r="AJ13" s="202"/>
      <c r="AK13" s="203"/>
      <c r="AL13" s="204"/>
      <c r="AM13" s="201"/>
      <c r="AN13" s="201"/>
      <c r="AO13" s="201"/>
    </row>
    <row r="14" spans="1:41" ht="15">
      <c r="A14" s="241" t="str">
        <f>IF(D14="","","Height Of Striker")</f>
        <v>Height Of Striker</v>
      </c>
      <c r="B14" s="237"/>
      <c r="C14" s="235"/>
      <c r="D14" s="408">
        <f>IF(D13=".","",profile!C23)</f>
        <v>1032</v>
      </c>
      <c r="E14" s="408"/>
      <c r="F14" s="182"/>
      <c r="G14" s="182"/>
      <c r="H14" s="182"/>
      <c r="I14" s="182"/>
      <c r="J14" s="182"/>
      <c r="K14" s="182"/>
      <c r="L14" s="242"/>
      <c r="M14" s="242"/>
      <c r="N14" s="182"/>
      <c r="O14" s="186"/>
      <c r="P14" s="239"/>
      <c r="Q14" s="239"/>
      <c r="R14" s="243"/>
      <c r="S14" s="239"/>
      <c r="T14" s="239"/>
      <c r="U14" s="239"/>
      <c r="V14" s="244"/>
      <c r="W14" s="186"/>
      <c r="X14" s="186"/>
      <c r="Y14" s="186"/>
      <c r="Z14" s="186"/>
      <c r="AA14" s="221"/>
      <c r="AB14" s="197"/>
      <c r="AC14" s="197"/>
      <c r="AD14" s="198"/>
      <c r="AE14" s="199"/>
      <c r="AF14" s="240"/>
      <c r="AG14" s="197"/>
      <c r="AI14" s="198"/>
      <c r="AJ14" s="202"/>
      <c r="AK14" s="203"/>
      <c r="AL14" s="204"/>
      <c r="AM14" s="205"/>
      <c r="AN14" s="201"/>
      <c r="AO14" s="201"/>
    </row>
    <row r="15" spans="1:41" ht="15">
      <c r="A15" s="241" t="str">
        <f>IF(D15="","","Mark To C/L")</f>
        <v>Mark To C/L</v>
      </c>
      <c r="B15" s="237"/>
      <c r="C15" s="237"/>
      <c r="D15" s="245">
        <f>IF(N46=1.1,67.5,IF(N46=1.5,68.5))</f>
        <v>67.5</v>
      </c>
      <c r="E15" s="235" t="str">
        <f>IF(D15="","","mm C/L Rebate")</f>
        <v>mm C/L Rebate</v>
      </c>
      <c r="F15" s="182"/>
      <c r="G15" s="182"/>
      <c r="H15" s="182"/>
      <c r="I15" s="182"/>
      <c r="J15" s="182"/>
      <c r="K15" s="182"/>
      <c r="L15" s="246"/>
      <c r="M15" s="246"/>
      <c r="N15" s="182"/>
      <c r="O15" s="186"/>
      <c r="P15" s="239"/>
      <c r="Q15" s="239"/>
      <c r="R15" s="239"/>
      <c r="S15" s="239"/>
      <c r="T15" s="239"/>
      <c r="U15" s="239"/>
      <c r="V15" s="244"/>
      <c r="W15" s="186"/>
      <c r="X15" s="186"/>
      <c r="Y15" s="186"/>
      <c r="Z15" s="186"/>
      <c r="AA15" s="221"/>
      <c r="AB15" s="197"/>
      <c r="AC15" s="197"/>
      <c r="AD15" s="198"/>
      <c r="AE15" s="199"/>
      <c r="AF15" s="240"/>
      <c r="AG15" s="197"/>
      <c r="AH15" s="197"/>
      <c r="AI15" s="198"/>
      <c r="AJ15" s="202"/>
      <c r="AK15" s="202"/>
      <c r="AL15" s="224"/>
      <c r="AM15" s="225"/>
      <c r="AN15" s="225"/>
      <c r="AO15" s="225"/>
    </row>
    <row r="16" spans="1:41" ht="15">
      <c r="A16" s="247" t="str">
        <f>IF(D13="EF507 Open Out 66x29","Mark to Front","")</f>
        <v/>
      </c>
      <c r="B16" s="237"/>
      <c r="C16" s="237"/>
      <c r="D16" s="248" t="str">
        <f>IF(D13="EF507 Open Out 66x29",U27,"")</f>
        <v/>
      </c>
      <c r="E16" s="182"/>
      <c r="F16" s="182"/>
      <c r="G16" s="182"/>
      <c r="H16" s="182"/>
      <c r="I16" s="182"/>
      <c r="J16" s="182"/>
      <c r="K16" s="182"/>
      <c r="L16" s="246"/>
      <c r="M16" s="246"/>
      <c r="N16" s="182"/>
      <c r="O16" s="186"/>
      <c r="P16" s="239"/>
      <c r="Q16" s="239"/>
      <c r="R16" s="239"/>
      <c r="S16" s="239"/>
      <c r="T16" s="239"/>
      <c r="U16" s="239"/>
      <c r="V16" s="244"/>
      <c r="W16" s="186"/>
      <c r="X16" s="186"/>
      <c r="Y16" s="186"/>
      <c r="Z16" s="186"/>
      <c r="AA16" s="221"/>
      <c r="AB16" s="197"/>
      <c r="AC16" s="197"/>
      <c r="AD16" s="198"/>
      <c r="AE16" s="199"/>
      <c r="AF16" s="240"/>
      <c r="AG16" s="197"/>
      <c r="AH16" s="197"/>
      <c r="AI16" s="198"/>
      <c r="AJ16" s="202"/>
      <c r="AK16" s="203"/>
      <c r="AL16" s="204"/>
      <c r="AM16" s="201"/>
      <c r="AN16" s="201"/>
      <c r="AO16" s="201"/>
    </row>
    <row r="17" spans="1:41" ht="15.6">
      <c r="A17" s="249"/>
      <c r="B17" s="237"/>
      <c r="C17" s="237"/>
      <c r="D17" s="250"/>
      <c r="E17" s="182"/>
      <c r="F17" s="182"/>
      <c r="G17" s="182"/>
      <c r="H17" s="182"/>
      <c r="I17" s="182"/>
      <c r="J17" s="182"/>
      <c r="K17" s="182"/>
      <c r="L17" s="246"/>
      <c r="M17" s="246"/>
      <c r="N17" s="182"/>
      <c r="O17" s="186"/>
      <c r="P17" s="239"/>
      <c r="Q17" s="197"/>
      <c r="R17" s="251"/>
      <c r="S17" s="197"/>
      <c r="T17" s="197"/>
      <c r="U17" s="239"/>
      <c r="V17" s="244"/>
      <c r="W17" s="186"/>
      <c r="X17" s="186"/>
      <c r="Y17" s="186"/>
      <c r="Z17" s="186"/>
      <c r="AA17" s="221"/>
      <c r="AB17" s="197"/>
      <c r="AC17" s="197"/>
      <c r="AD17" s="198"/>
      <c r="AE17" s="199"/>
      <c r="AF17" s="240"/>
      <c r="AG17" s="197"/>
      <c r="AH17" s="197"/>
      <c r="AI17" s="198"/>
      <c r="AJ17" s="202"/>
      <c r="AK17" s="203"/>
      <c r="AL17" s="204"/>
      <c r="AM17" s="201"/>
      <c r="AN17" s="201"/>
      <c r="AO17" s="201"/>
    </row>
    <row r="18" spans="1:41" ht="15">
      <c r="A18" s="241" t="s">
        <v>8</v>
      </c>
      <c r="B18" s="235"/>
      <c r="C18" s="235"/>
      <c r="D18" s="252">
        <f>P10</f>
        <v>2</v>
      </c>
      <c r="E18" s="253" t="str">
        <f>IF(P31&gt;47,"100x100","100x75")</f>
        <v>100x75</v>
      </c>
      <c r="F18" s="186"/>
      <c r="G18" s="253"/>
      <c r="H18" s="253"/>
      <c r="I18" s="186"/>
      <c r="J18" s="186"/>
      <c r="K18" s="186"/>
      <c r="L18" s="182"/>
      <c r="M18" s="182"/>
      <c r="N18" s="182"/>
      <c r="O18" s="186"/>
      <c r="P18" s="239"/>
      <c r="Q18" s="197"/>
      <c r="R18" s="254"/>
      <c r="S18" s="197"/>
      <c r="T18" s="197"/>
      <c r="U18" s="239"/>
      <c r="V18" s="186"/>
      <c r="W18" s="186"/>
      <c r="X18" s="186"/>
      <c r="Y18" s="186"/>
      <c r="Z18" s="186"/>
      <c r="AA18" s="221"/>
      <c r="AB18" s="197"/>
      <c r="AC18" s="197"/>
      <c r="AD18" s="198"/>
      <c r="AE18" s="199"/>
      <c r="AF18" s="240"/>
      <c r="AG18" s="197"/>
      <c r="AH18" s="197"/>
      <c r="AI18" s="198"/>
      <c r="AJ18" s="202"/>
      <c r="AK18" s="203"/>
      <c r="AL18" s="204"/>
      <c r="AM18" s="201"/>
      <c r="AN18" s="201"/>
      <c r="AO18" s="225"/>
    </row>
    <row r="19" spans="1:41" ht="15">
      <c r="A19" s="409" t="s">
        <v>123</v>
      </c>
      <c r="B19" s="408"/>
      <c r="C19" s="408"/>
      <c r="D19" s="255" t="str">
        <f>profile!$H$57</f>
        <v>SF B/P</v>
      </c>
      <c r="E19" s="253"/>
      <c r="F19" s="186"/>
      <c r="G19" s="186"/>
      <c r="H19" s="186"/>
      <c r="I19" s="186"/>
      <c r="J19" s="186"/>
      <c r="K19" s="186"/>
      <c r="L19" s="182"/>
      <c r="M19" s="182"/>
      <c r="N19" s="182"/>
      <c r="O19" s="256"/>
      <c r="P19" s="239"/>
      <c r="Q19" s="197"/>
      <c r="R19" s="254"/>
      <c r="S19" s="197"/>
      <c r="T19" s="197"/>
      <c r="U19" s="257"/>
      <c r="V19" s="258"/>
      <c r="W19" s="186"/>
      <c r="X19" s="186"/>
      <c r="Y19" s="258"/>
      <c r="Z19" s="186"/>
      <c r="AA19" s="221"/>
      <c r="AB19" s="197"/>
      <c r="AC19" s="197"/>
      <c r="AD19" s="198"/>
      <c r="AE19" s="259"/>
      <c r="AF19" s="240"/>
      <c r="AG19" s="197"/>
      <c r="AH19" s="197"/>
      <c r="AI19" s="198"/>
      <c r="AJ19" s="202"/>
      <c r="AK19" s="203"/>
      <c r="AL19" s="204"/>
      <c r="AM19" s="201"/>
      <c r="AN19" s="201"/>
      <c r="AO19" s="205"/>
    </row>
    <row r="20" spans="1:41" ht="15">
      <c r="A20" s="234" t="s">
        <v>124</v>
      </c>
      <c r="B20" s="237"/>
      <c r="C20" s="237"/>
      <c r="D20" s="422">
        <f>IF(profile!C15=1.1,(dwg!E36+dwg!E33)-2.4,IF(profile!C15=1.5,(dwg!E36+dwg!E33)-2.9))</f>
        <v>44.5</v>
      </c>
      <c r="E20" s="422"/>
      <c r="F20" s="186"/>
      <c r="G20" s="186"/>
      <c r="H20" s="182"/>
      <c r="I20" s="186"/>
      <c r="J20" s="186"/>
      <c r="K20" s="186"/>
      <c r="L20" s="182"/>
      <c r="M20" s="186"/>
      <c r="N20" s="182"/>
      <c r="O20" s="256"/>
      <c r="P20" s="239"/>
      <c r="Q20" s="197"/>
      <c r="R20" s="254"/>
      <c r="S20" s="197"/>
      <c r="T20" s="197"/>
      <c r="U20" s="239"/>
      <c r="V20" s="186"/>
      <c r="W20" s="186"/>
      <c r="X20" s="186"/>
      <c r="Y20" s="186"/>
      <c r="Z20" s="186"/>
      <c r="AA20" s="221"/>
      <c r="AB20" s="197"/>
      <c r="AC20" s="197"/>
      <c r="AD20" s="198"/>
      <c r="AE20" s="259"/>
      <c r="AF20" s="240"/>
      <c r="AG20" s="197"/>
      <c r="AH20" s="197"/>
      <c r="AI20" s="198"/>
      <c r="AJ20" s="202"/>
      <c r="AK20" s="203"/>
      <c r="AL20" s="204"/>
      <c r="AM20" s="201"/>
      <c r="AN20" s="201"/>
      <c r="AO20" s="205"/>
    </row>
    <row r="21" spans="1:41" ht="15">
      <c r="A21" s="241" t="s">
        <v>125</v>
      </c>
      <c r="B21" s="235"/>
      <c r="C21" s="237"/>
      <c r="D21" s="246">
        <f>230+M37-1</f>
        <v>267</v>
      </c>
      <c r="E21" s="410"/>
      <c r="F21" s="410"/>
      <c r="G21" s="182"/>
      <c r="H21" s="182"/>
      <c r="I21" s="182"/>
      <c r="J21" s="182"/>
      <c r="K21" s="182"/>
      <c r="L21" s="182"/>
      <c r="M21" s="182"/>
      <c r="N21" s="182"/>
      <c r="O21" s="256"/>
      <c r="P21" s="239"/>
      <c r="Q21" s="197"/>
      <c r="R21" s="254"/>
      <c r="S21" s="197"/>
      <c r="T21" s="197"/>
      <c r="U21" s="239"/>
      <c r="V21" s="186"/>
      <c r="W21" s="186"/>
      <c r="X21" s="186"/>
      <c r="Y21" s="186"/>
      <c r="Z21" s="186"/>
      <c r="AA21" s="221"/>
      <c r="AB21" s="197"/>
      <c r="AC21" s="197"/>
      <c r="AD21" s="198"/>
      <c r="AE21" s="259"/>
      <c r="AF21" s="240"/>
      <c r="AH21" s="197"/>
      <c r="AI21" s="198"/>
      <c r="AJ21" s="202"/>
      <c r="AK21" s="203"/>
      <c r="AL21" s="204"/>
      <c r="AM21" s="201"/>
      <c r="AN21" s="201"/>
      <c r="AO21" s="211"/>
    </row>
    <row r="22" spans="1:41" ht="15">
      <c r="A22" s="249" t="s">
        <v>126</v>
      </c>
      <c r="B22" s="235"/>
      <c r="C22" s="260">
        <f>IF(J10=2065,252,242)</f>
        <v>242</v>
      </c>
      <c r="D22" s="246">
        <v>250</v>
      </c>
      <c r="E22" s="410"/>
      <c r="F22" s="410"/>
      <c r="G22" s="182" t="s">
        <v>177</v>
      </c>
      <c r="H22" s="182"/>
      <c r="I22" s="182">
        <f>I46-D22-50.5</f>
        <v>1736.5</v>
      </c>
      <c r="J22" s="182"/>
      <c r="K22" s="182"/>
      <c r="L22" s="182"/>
      <c r="M22" s="182"/>
      <c r="N22" s="186"/>
      <c r="O22" s="186"/>
      <c r="P22" s="239"/>
      <c r="Q22" s="197"/>
      <c r="R22" s="197"/>
      <c r="S22" s="197"/>
      <c r="T22" s="197"/>
      <c r="U22" s="239"/>
      <c r="V22" s="186"/>
      <c r="W22" s="186"/>
      <c r="X22" s="186"/>
      <c r="Y22" s="186"/>
      <c r="Z22" s="186"/>
      <c r="AA22" s="221"/>
      <c r="AB22" s="197"/>
      <c r="AC22" s="197"/>
      <c r="AD22" s="198"/>
      <c r="AE22" s="259"/>
      <c r="AF22" s="240"/>
      <c r="AG22" s="197"/>
      <c r="AH22" s="197"/>
      <c r="AI22" s="198"/>
      <c r="AJ22" s="202"/>
      <c r="AK22" s="203"/>
      <c r="AL22" s="204"/>
      <c r="AM22" s="201"/>
      <c r="AN22" s="201"/>
      <c r="AO22" s="205"/>
    </row>
    <row r="23" spans="1:41" ht="15">
      <c r="A23" s="249" t="str">
        <f>IF(OR(D18=3,D18=4),"Third Hinge:","")</f>
        <v/>
      </c>
      <c r="B23" s="235"/>
      <c r="C23" s="237"/>
      <c r="D23" s="411">
        <f>(I46-(D21+D22+(2*99.5)))/2+(D22+99.5)</f>
        <v>1010</v>
      </c>
      <c r="E23" s="411">
        <f>IF(E20&gt;2,(E49-(E21+100+E22+100))/2+(E22+100),0)</f>
        <v>0</v>
      </c>
      <c r="F23" s="182"/>
      <c r="G23" s="182" t="s">
        <v>176</v>
      </c>
      <c r="H23" s="182"/>
      <c r="I23" s="261">
        <f>I46-D23-50.5</f>
        <v>976.5</v>
      </c>
      <c r="J23" s="182"/>
      <c r="K23" s="182"/>
      <c r="L23" s="182"/>
      <c r="M23" s="182"/>
      <c r="N23" s="182"/>
      <c r="O23" s="186"/>
      <c r="P23" s="239"/>
      <c r="Q23" s="197"/>
      <c r="R23" s="197"/>
      <c r="S23" s="197"/>
      <c r="T23" s="197"/>
      <c r="U23" s="239"/>
      <c r="V23" s="186"/>
      <c r="W23" s="186"/>
      <c r="X23" s="186"/>
      <c r="Y23" s="186"/>
      <c r="Z23" s="186"/>
      <c r="AA23" s="221"/>
      <c r="AB23" s="197"/>
      <c r="AC23" s="197"/>
      <c r="AD23" s="198"/>
      <c r="AE23" s="259"/>
      <c r="AF23" s="240"/>
      <c r="AG23" s="197"/>
      <c r="AI23" s="198"/>
      <c r="AJ23" s="202"/>
      <c r="AK23" s="203"/>
      <c r="AL23" s="204"/>
      <c r="AM23" s="201"/>
      <c r="AN23" s="201"/>
      <c r="AO23" s="205"/>
    </row>
    <row r="24" spans="1:41" ht="15">
      <c r="A24" s="249" t="str">
        <f>IF(D18=4,"Fourth Hinge:","")</f>
        <v/>
      </c>
      <c r="B24" s="235"/>
      <c r="C24" s="237"/>
      <c r="D24" s="262"/>
      <c r="E24" s="182"/>
      <c r="F24" s="182"/>
      <c r="G24" s="182"/>
      <c r="H24" s="182"/>
      <c r="I24" s="182"/>
      <c r="J24" s="182"/>
      <c r="K24" s="182"/>
      <c r="L24" s="182"/>
      <c r="M24" s="182"/>
      <c r="N24" s="186"/>
      <c r="O24" s="186"/>
      <c r="P24" s="239"/>
      <c r="Q24" s="197"/>
      <c r="R24" s="197"/>
      <c r="S24" s="197"/>
      <c r="T24" s="197"/>
      <c r="U24" s="239"/>
      <c r="V24" s="186"/>
      <c r="W24" s="186"/>
      <c r="X24" s="186"/>
      <c r="Y24" s="186"/>
      <c r="Z24" s="186"/>
      <c r="AA24" s="221"/>
      <c r="AB24" s="197"/>
      <c r="AC24" s="197"/>
      <c r="AD24" s="198"/>
      <c r="AE24" s="259"/>
      <c r="AF24" s="240"/>
      <c r="AG24" s="263"/>
      <c r="AH24" s="197"/>
      <c r="AI24" s="198"/>
      <c r="AJ24" s="202"/>
      <c r="AK24" s="203"/>
      <c r="AL24" s="204"/>
      <c r="AM24" s="205"/>
      <c r="AN24" s="205"/>
      <c r="AO24" s="205"/>
    </row>
    <row r="25" spans="1:41" ht="15">
      <c r="A25" s="249"/>
      <c r="B25" s="235"/>
      <c r="C25" s="237"/>
      <c r="D25" s="246"/>
      <c r="E25" s="182"/>
      <c r="F25" s="182"/>
      <c r="G25" s="182"/>
      <c r="H25" s="182"/>
      <c r="I25" s="182"/>
      <c r="J25" s="182"/>
      <c r="K25" s="182"/>
      <c r="L25" s="182"/>
      <c r="M25" s="182"/>
      <c r="N25" s="182"/>
      <c r="O25" s="186"/>
      <c r="P25" s="239"/>
      <c r="Q25" s="197"/>
      <c r="R25" s="197"/>
      <c r="S25" s="197"/>
      <c r="T25" s="197"/>
      <c r="U25" s="239"/>
      <c r="V25" s="186"/>
      <c r="W25" s="186"/>
      <c r="X25" s="186"/>
      <c r="Y25" s="186"/>
      <c r="Z25" s="186"/>
      <c r="AA25" s="221"/>
      <c r="AB25" s="197"/>
      <c r="AC25" s="197"/>
      <c r="AD25" s="198"/>
      <c r="AE25" s="259"/>
      <c r="AF25" s="240"/>
      <c r="AG25" s="197"/>
      <c r="AH25" s="197"/>
      <c r="AI25" s="198"/>
      <c r="AJ25" s="202"/>
      <c r="AK25" s="203"/>
      <c r="AL25" s="204"/>
      <c r="AM25" s="205"/>
      <c r="AN25" s="205"/>
      <c r="AO25" s="205"/>
    </row>
    <row r="26" spans="1:41" ht="15">
      <c r="A26" s="234"/>
      <c r="B26" s="264"/>
      <c r="C26" s="235"/>
      <c r="D26" s="182"/>
      <c r="E26" s="246"/>
      <c r="F26" s="182"/>
      <c r="G26" s="182"/>
      <c r="H26" s="182"/>
      <c r="I26" s="182"/>
      <c r="J26" s="182"/>
      <c r="K26" s="182"/>
      <c r="L26" s="182"/>
      <c r="M26" s="182"/>
      <c r="N26" s="182"/>
      <c r="O26" s="186"/>
      <c r="P26" s="239"/>
      <c r="Q26" s="239"/>
      <c r="R26" s="239"/>
      <c r="S26" s="239"/>
      <c r="T26" s="239"/>
      <c r="U26" s="239"/>
      <c r="V26" s="186"/>
      <c r="W26" s="186"/>
      <c r="X26" s="186"/>
      <c r="Y26" s="186"/>
      <c r="Z26" s="186"/>
      <c r="AA26" s="221"/>
      <c r="AB26" s="197"/>
      <c r="AC26" s="197"/>
      <c r="AD26" s="198"/>
      <c r="AE26" s="259"/>
      <c r="AF26" s="240"/>
      <c r="AG26" s="197"/>
      <c r="AH26" s="197"/>
      <c r="AI26" s="198"/>
      <c r="AJ26" s="202"/>
      <c r="AK26" s="203"/>
      <c r="AL26" s="204"/>
      <c r="AM26" s="205"/>
      <c r="AN26" s="205"/>
      <c r="AO26" s="205"/>
    </row>
    <row r="27" spans="1:41" ht="15">
      <c r="A27" s="236" t="str">
        <f>IF(OR(D27="Wire Ties",D27="Large Wire Ties",D27="",D27="CSK Holes",D27="Tube Fix",D27="C Strap Fix",D27="Flat Strap Fix",D27="Tube Fix Staggered",D27="Tube + Flat Strap Fix",D27="Special"),"Frame Fixing:",IF(D27=".",""))</f>
        <v/>
      </c>
      <c r="B27" s="264"/>
      <c r="C27" s="235"/>
      <c r="D27" s="265" t="str">
        <f>profile!D82</f>
        <v>.</v>
      </c>
      <c r="E27" s="266"/>
      <c r="F27" s="182"/>
      <c r="G27" s="267"/>
      <c r="H27" s="186"/>
      <c r="I27" s="186"/>
      <c r="J27" s="268">
        <f>profile!C28</f>
        <v>0</v>
      </c>
      <c r="K27" s="182"/>
      <c r="L27" s="182"/>
      <c r="M27" s="182"/>
      <c r="N27" s="182"/>
      <c r="O27" s="186"/>
      <c r="P27" s="239"/>
      <c r="Q27" s="239"/>
      <c r="R27" s="239"/>
      <c r="S27" s="239"/>
      <c r="T27" s="239"/>
      <c r="U27" s="269">
        <f>IF(N46=1.1,O39+M37+P31+M34-(4+7),O39+M37+P31+M34-(5.6+7))</f>
        <v>104</v>
      </c>
      <c r="V27" s="186"/>
      <c r="W27" s="186"/>
      <c r="X27" s="186"/>
      <c r="Y27" s="186"/>
      <c r="Z27" s="186"/>
      <c r="AA27" s="221"/>
      <c r="AB27" s="197"/>
      <c r="AC27" s="197"/>
      <c r="AD27" s="198"/>
      <c r="AE27" s="259"/>
      <c r="AF27" s="240"/>
      <c r="AG27" s="197"/>
      <c r="AH27" s="197"/>
      <c r="AI27" s="198"/>
      <c r="AJ27" s="202"/>
      <c r="AK27" s="203"/>
      <c r="AL27" s="203"/>
      <c r="AM27" s="205"/>
      <c r="AN27" s="205"/>
      <c r="AO27" s="205"/>
    </row>
    <row r="28" spans="1:41" ht="15">
      <c r="A28" s="234" t="str">
        <f>IF(D28="64x19F O/IN","Weather Mould",IF(D28="64x19F O/O","Weather Mould",IF(D28="30x19F O/IN","Weather Mould",IF(D28="30x19F O/O","Weather Mould",IF(D28="Special","Weather Mould",IF(D28=".",""))))))</f>
        <v/>
      </c>
      <c r="B28" s="264"/>
      <c r="C28" s="235"/>
      <c r="D28" s="270" t="str">
        <f>profile!C26</f>
        <v>.</v>
      </c>
      <c r="E28" s="271"/>
      <c r="F28" s="182"/>
      <c r="G28" s="182"/>
      <c r="H28" s="182"/>
      <c r="I28" s="182"/>
      <c r="J28" s="182"/>
      <c r="K28" s="182"/>
      <c r="L28" s="182"/>
      <c r="M28" s="182"/>
      <c r="N28" s="182"/>
      <c r="O28" s="186"/>
      <c r="P28" s="239"/>
      <c r="Q28" s="239"/>
      <c r="R28" s="239"/>
      <c r="S28" s="239"/>
      <c r="T28" s="239"/>
      <c r="U28" s="186"/>
      <c r="V28" s="186"/>
      <c r="W28" s="186"/>
      <c r="X28" s="186"/>
      <c r="Y28" s="186"/>
      <c r="Z28" s="186"/>
      <c r="AA28" s="221"/>
      <c r="AB28" s="197"/>
      <c r="AC28" s="197"/>
      <c r="AD28" s="197"/>
      <c r="AE28" s="259"/>
      <c r="AF28" s="233"/>
      <c r="AH28" s="197"/>
      <c r="AI28" s="198"/>
      <c r="AJ28" s="202"/>
      <c r="AL28" s="204"/>
      <c r="AM28" s="205"/>
      <c r="AN28" s="205"/>
      <c r="AO28" s="205"/>
    </row>
    <row r="29" spans="1:41" ht="15.6">
      <c r="A29" s="236" t="str">
        <f>IF(OR(D29="Surface Mounted",D29="Parallel Arm",D29="RTS-85 Transom Closer Box",D29="ITS96 Concealed Closer",D29="L/W-985",D29="Special See Sketch",D29="Efco Jackson",D29="Dorma BTS80"),"Closer/Pivot:",IF(D29=".",""))</f>
        <v/>
      </c>
      <c r="B29" s="235"/>
      <c r="C29" s="235"/>
      <c r="D29" s="270" t="str">
        <f>profile!C109</f>
        <v>.</v>
      </c>
      <c r="E29" s="272"/>
      <c r="F29" s="182"/>
      <c r="G29" s="182"/>
      <c r="H29" s="182"/>
      <c r="I29" s="182"/>
      <c r="J29" s="182"/>
      <c r="K29" s="182"/>
      <c r="L29" s="182"/>
      <c r="M29" s="273"/>
      <c r="N29" s="182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221"/>
      <c r="AB29" s="197"/>
      <c r="AC29" s="197"/>
      <c r="AD29" s="198"/>
      <c r="AF29" s="240"/>
      <c r="AG29" s="197"/>
      <c r="AH29" s="197"/>
      <c r="AI29" s="198"/>
      <c r="AJ29" s="202"/>
      <c r="AK29" s="203"/>
      <c r="AL29" s="204"/>
      <c r="AM29" s="205"/>
      <c r="AN29" s="205"/>
      <c r="AO29" s="205"/>
    </row>
    <row r="30" spans="1:41" ht="15">
      <c r="A30" s="234" t="b">
        <f>IF(D30="19mm","Reed Switch",IF(D30="22mm","Reed Switch",IF(D30="25mm","Reed Switch",IF(D30=".",""))))</f>
        <v>0</v>
      </c>
      <c r="B30" s="235"/>
      <c r="C30" s="237"/>
      <c r="D30" s="270" t="str">
        <f>profile!C24</f>
        <v>D/B-3.5</v>
      </c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186"/>
      <c r="P30" s="186"/>
      <c r="Q30" s="186"/>
      <c r="R30" s="186"/>
      <c r="S30" s="186"/>
      <c r="T30" s="186"/>
      <c r="U30" s="274"/>
      <c r="V30" s="186"/>
      <c r="W30" s="186"/>
      <c r="X30" s="186"/>
      <c r="Y30" s="186"/>
      <c r="Z30" s="186"/>
      <c r="AA30" s="221"/>
      <c r="AB30" s="197"/>
      <c r="AC30" s="197"/>
      <c r="AD30" s="198"/>
      <c r="AE30" s="259"/>
      <c r="AF30" s="240"/>
      <c r="AG30" s="197"/>
      <c r="AJ30" s="202"/>
      <c r="AK30" s="203"/>
      <c r="AL30" s="204"/>
      <c r="AM30" s="205"/>
      <c r="AN30" s="205"/>
      <c r="AO30" s="205"/>
    </row>
    <row r="31" spans="1:41" ht="15.6">
      <c r="A31" s="234"/>
      <c r="B31" s="235"/>
      <c r="C31" s="237"/>
      <c r="D31" s="270"/>
      <c r="E31" s="182"/>
      <c r="F31" s="182"/>
      <c r="G31" s="182"/>
      <c r="H31" s="182"/>
      <c r="I31" s="182"/>
      <c r="J31" s="182"/>
      <c r="K31" s="182"/>
      <c r="L31" s="182"/>
      <c r="M31" s="182"/>
      <c r="N31" s="182"/>
      <c r="O31" s="186"/>
      <c r="P31" s="275">
        <f>profile!Q3</f>
        <v>40</v>
      </c>
      <c r="Q31" s="186"/>
      <c r="R31" s="186"/>
      <c r="U31" s="412">
        <f>profile!U3</f>
        <v>98</v>
      </c>
      <c r="V31" s="412"/>
      <c r="W31" s="258"/>
      <c r="X31" s="186"/>
      <c r="Y31" s="186"/>
      <c r="Z31" s="186"/>
      <c r="AA31" s="221"/>
      <c r="AB31" s="197"/>
      <c r="AC31" s="240"/>
      <c r="AD31" s="276"/>
      <c r="AE31" s="259"/>
      <c r="AF31" s="240"/>
      <c r="AG31" s="197"/>
      <c r="AH31" s="197"/>
      <c r="AI31" s="198"/>
      <c r="AJ31" s="202"/>
      <c r="AK31" s="203"/>
      <c r="AL31" s="204"/>
      <c r="AM31" s="205"/>
      <c r="AN31" s="205"/>
      <c r="AO31" s="205"/>
    </row>
    <row r="32" spans="1:41" ht="15">
      <c r="A32" s="234" t="str">
        <f>IF(D32="1xmul","Mullion Required",IF(D32="2xmul","Mullion Required",IF(D32=".","")))</f>
        <v/>
      </c>
      <c r="B32" s="235"/>
      <c r="C32" s="237"/>
      <c r="D32" s="277" t="str">
        <f>profile!C30</f>
        <v>.</v>
      </c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6"/>
      <c r="P32" s="186"/>
      <c r="Q32" s="186"/>
      <c r="R32" s="186"/>
      <c r="S32" s="186"/>
      <c r="T32" s="186"/>
      <c r="U32" s="274"/>
      <c r="V32" s="186"/>
      <c r="W32" s="186"/>
      <c r="X32" s="186"/>
      <c r="Y32" s="186"/>
      <c r="Z32" s="186"/>
      <c r="AA32" s="221"/>
      <c r="AB32" s="197"/>
      <c r="AC32" s="197"/>
      <c r="AD32" s="198"/>
      <c r="AE32" s="259"/>
      <c r="AG32" s="197"/>
      <c r="AH32" s="197"/>
      <c r="AI32" s="198"/>
      <c r="AJ32" s="202"/>
      <c r="AK32" s="203"/>
      <c r="AL32" s="204"/>
      <c r="AM32" s="205"/>
      <c r="AN32" s="205"/>
      <c r="AO32" s="205"/>
    </row>
    <row r="33" spans="1:41" ht="15">
      <c r="A33" s="234" t="str">
        <f>IF(D33="Yes","Transom Required",IF(D33=".",""))</f>
        <v/>
      </c>
      <c r="B33" s="235"/>
      <c r="C33" s="237"/>
      <c r="D33" s="262" t="str">
        <f>profile!C31</f>
        <v>.</v>
      </c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6"/>
      <c r="P33" s="186"/>
      <c r="Q33" s="186"/>
      <c r="R33" s="186"/>
      <c r="S33" s="186"/>
      <c r="T33" s="186"/>
      <c r="U33" s="274"/>
      <c r="V33" s="186"/>
      <c r="W33" s="186"/>
      <c r="X33" s="186"/>
      <c r="Y33" s="186"/>
      <c r="Z33" s="186"/>
      <c r="AA33" s="221"/>
      <c r="AB33" s="197"/>
      <c r="AC33" s="197"/>
      <c r="AD33" s="198"/>
      <c r="AE33" s="259"/>
      <c r="AF33" s="240"/>
      <c r="AG33" s="197"/>
      <c r="AH33" s="197"/>
      <c r="AJ33" s="202"/>
      <c r="AK33" s="203"/>
      <c r="AL33" s="204"/>
      <c r="AM33" s="205"/>
      <c r="AN33" s="205"/>
      <c r="AO33" s="205"/>
    </row>
    <row r="34" spans="1:41" ht="15">
      <c r="A34" s="234" t="str">
        <f>IF(D34="Yes","Sill Required",IF(D34=".",""))</f>
        <v/>
      </c>
      <c r="B34" s="235"/>
      <c r="C34" s="235"/>
      <c r="D34" s="182" t="str">
        <f>IF(profile!C32="yes","Yes",".")</f>
        <v>.</v>
      </c>
      <c r="E34" s="182"/>
      <c r="F34" s="182"/>
      <c r="G34" s="271"/>
      <c r="H34" s="182"/>
      <c r="I34" s="182"/>
      <c r="J34" s="182"/>
      <c r="K34" s="182"/>
      <c r="L34" s="182"/>
      <c r="M34" s="258">
        <f>profile!N5</f>
        <v>25</v>
      </c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278"/>
      <c r="AA34" s="221"/>
      <c r="AB34" s="197"/>
      <c r="AC34" s="197"/>
      <c r="AD34" s="198"/>
      <c r="AE34" s="259"/>
      <c r="AF34" s="240"/>
      <c r="AG34" s="279"/>
      <c r="AH34" s="197"/>
      <c r="AI34" s="198"/>
      <c r="AJ34" s="202"/>
      <c r="AK34" s="203"/>
      <c r="AL34" s="204"/>
      <c r="AM34" s="205"/>
      <c r="AN34" s="205"/>
      <c r="AO34" s="205"/>
    </row>
    <row r="35" spans="1:41" ht="15">
      <c r="A35" s="234" t="s">
        <v>15</v>
      </c>
      <c r="B35" s="235"/>
      <c r="C35" s="235"/>
      <c r="D35" s="280" t="str">
        <f>profile!C123</f>
        <v>Weld Dressed-Primed</v>
      </c>
      <c r="E35" s="252"/>
      <c r="F35" s="252"/>
      <c r="G35" s="252"/>
      <c r="H35" s="252"/>
      <c r="I35" s="252"/>
      <c r="J35" s="252"/>
      <c r="K35" s="252"/>
      <c r="L35" s="252"/>
      <c r="M35" s="252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278">
        <f>profile!AA6</f>
        <v>63</v>
      </c>
      <c r="AA35" s="221"/>
      <c r="AB35" s="197"/>
      <c r="AC35" s="197" t="s">
        <v>9</v>
      </c>
      <c r="AD35" s="198"/>
      <c r="AE35" s="259"/>
      <c r="AF35" s="240"/>
      <c r="AG35" s="197"/>
      <c r="AH35" s="197"/>
      <c r="AI35" s="198"/>
      <c r="AJ35" s="202"/>
      <c r="AK35" s="203"/>
      <c r="AL35" s="204"/>
      <c r="AM35" s="201"/>
      <c r="AN35" s="201"/>
      <c r="AO35" s="225"/>
    </row>
    <row r="36" spans="1:41" ht="15.6">
      <c r="A36" s="234"/>
      <c r="B36" s="235"/>
      <c r="C36" s="235"/>
      <c r="D36" s="281"/>
      <c r="E36" s="186"/>
      <c r="F36" s="282"/>
      <c r="G36" s="283"/>
      <c r="H36" s="284"/>
      <c r="I36" s="283"/>
      <c r="J36" s="283"/>
      <c r="K36" s="283"/>
      <c r="L36" s="283"/>
      <c r="M36" s="182"/>
      <c r="N36" s="182"/>
      <c r="O36" s="274"/>
      <c r="P36" s="186"/>
      <c r="Q36" s="412"/>
      <c r="R36" s="412"/>
      <c r="S36" s="186"/>
      <c r="T36" s="186"/>
      <c r="U36" s="186"/>
      <c r="V36" s="186"/>
      <c r="W36" s="186"/>
      <c r="X36" s="186"/>
      <c r="Y36" s="186"/>
      <c r="Z36" s="186"/>
      <c r="AA36" s="221"/>
      <c r="AB36" s="197"/>
      <c r="AC36" s="197"/>
      <c r="AD36" s="198"/>
      <c r="AE36" s="259"/>
      <c r="AF36" s="240"/>
      <c r="AH36" s="197"/>
      <c r="AI36" s="198"/>
      <c r="AJ36" s="202"/>
      <c r="AK36" s="203"/>
      <c r="AL36" s="204"/>
      <c r="AM36" s="201"/>
      <c r="AN36" s="201"/>
      <c r="AO36" s="205"/>
    </row>
    <row r="37" spans="1:41">
      <c r="A37" s="285"/>
      <c r="B37" s="286"/>
      <c r="C37" s="186"/>
      <c r="D37" s="278"/>
      <c r="E37" s="278"/>
      <c r="F37" s="278"/>
      <c r="G37" s="186"/>
      <c r="H37" s="274"/>
      <c r="I37" s="186"/>
      <c r="J37" s="186"/>
      <c r="K37" s="186"/>
      <c r="L37" s="186"/>
      <c r="M37" s="186">
        <f>profile!N7</f>
        <v>38</v>
      </c>
      <c r="N37" s="186"/>
      <c r="O37" s="274"/>
      <c r="P37" s="186"/>
      <c r="Q37" s="274"/>
      <c r="R37" s="274"/>
      <c r="S37" s="186"/>
      <c r="T37" s="186"/>
      <c r="U37" s="186"/>
      <c r="V37" s="186"/>
      <c r="W37" s="186"/>
      <c r="X37" s="186"/>
      <c r="Y37" s="186"/>
      <c r="AA37" s="221"/>
      <c r="AB37" s="197"/>
      <c r="AC37" s="197"/>
      <c r="AD37" s="198"/>
      <c r="AE37" s="259"/>
      <c r="AF37" s="198"/>
      <c r="AG37" s="259"/>
      <c r="AH37" s="287"/>
      <c r="AI37" s="201"/>
      <c r="AJ37" s="202"/>
      <c r="AK37" s="203"/>
      <c r="AL37" s="204"/>
      <c r="AM37" s="205"/>
      <c r="AN37" s="205"/>
      <c r="AO37" s="205"/>
    </row>
    <row r="38" spans="1:41">
      <c r="A38" s="227"/>
      <c r="B38" s="186"/>
      <c r="C38" s="186"/>
      <c r="D38" s="186"/>
      <c r="E38" s="186"/>
      <c r="F38" s="186"/>
      <c r="G38" s="186"/>
      <c r="H38" s="186"/>
      <c r="I38" s="186"/>
      <c r="J38" s="186"/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221"/>
      <c r="AB38" s="197"/>
      <c r="AC38" s="197"/>
      <c r="AD38" s="198"/>
      <c r="AE38" s="259"/>
      <c r="AF38" s="198"/>
      <c r="AG38" s="259"/>
      <c r="AH38" s="287"/>
      <c r="AI38" s="201"/>
      <c r="AJ38" s="202"/>
      <c r="AK38" s="203"/>
      <c r="AL38" s="204"/>
      <c r="AM38" s="205"/>
      <c r="AN38" s="205"/>
      <c r="AO38" s="205"/>
    </row>
    <row r="39" spans="1:41">
      <c r="A39" s="288"/>
      <c r="B39" s="289"/>
      <c r="C39" s="289"/>
      <c r="D39" s="290"/>
      <c r="E39" s="291"/>
      <c r="F39" s="291"/>
      <c r="G39" s="292"/>
      <c r="H39" s="292"/>
      <c r="I39" s="292"/>
      <c r="J39" s="292"/>
      <c r="K39" s="292"/>
      <c r="L39" s="292"/>
      <c r="M39" s="251"/>
      <c r="N39" s="291"/>
      <c r="O39" s="274">
        <f>profile!P9</f>
        <v>12</v>
      </c>
      <c r="P39" s="186"/>
      <c r="Q39" s="186"/>
      <c r="R39" s="186"/>
      <c r="S39" s="401">
        <f>profile!T9</f>
        <v>114</v>
      </c>
      <c r="T39" s="401"/>
      <c r="U39" s="186"/>
      <c r="V39" s="186"/>
      <c r="W39" s="186"/>
      <c r="X39" s="186">
        <f>profile!Y9</f>
        <v>12</v>
      </c>
      <c r="Y39" s="186"/>
      <c r="Z39" s="186"/>
      <c r="AA39" s="221"/>
      <c r="AB39" s="197"/>
      <c r="AC39" s="197"/>
      <c r="AD39" s="198"/>
      <c r="AE39" s="259"/>
      <c r="AF39" s="198"/>
      <c r="AG39" s="259"/>
      <c r="AH39" s="287"/>
      <c r="AI39" s="201"/>
      <c r="AJ39" s="202"/>
      <c r="AK39" s="203"/>
      <c r="AL39" s="204"/>
      <c r="AM39" s="205"/>
      <c r="AN39" s="205"/>
      <c r="AO39" s="205"/>
    </row>
    <row r="40" spans="1:41" ht="18" customHeight="1">
      <c r="A40" s="413" t="s">
        <v>127</v>
      </c>
      <c r="B40" s="414"/>
      <c r="C40" s="414"/>
      <c r="D40" s="293">
        <f>profile!C13</f>
        <v>1</v>
      </c>
      <c r="E40" s="294" t="e">
        <f>VLOOKUP(O10,profile!A51:B54,2,FALSE)</f>
        <v>#REF!</v>
      </c>
      <c r="F40" s="186"/>
      <c r="G40" s="186"/>
      <c r="H40" s="295"/>
      <c r="I40" s="295"/>
      <c r="J40" s="295"/>
      <c r="K40" s="295"/>
      <c r="L40" s="296"/>
      <c r="M40" s="297"/>
      <c r="N40" s="186"/>
      <c r="O40" s="298"/>
      <c r="P40" s="298"/>
      <c r="Q40" s="186"/>
      <c r="R40" s="186"/>
      <c r="S40" s="186"/>
      <c r="T40" s="186"/>
      <c r="U40" s="186"/>
      <c r="V40" s="186"/>
      <c r="W40" s="186"/>
      <c r="X40" s="186"/>
      <c r="Y40" s="186"/>
      <c r="Z40" s="186"/>
      <c r="AA40" s="221"/>
      <c r="AB40" s="197"/>
      <c r="AC40" s="197"/>
      <c r="AD40" s="198"/>
      <c r="AE40" s="259"/>
      <c r="AF40" s="198"/>
      <c r="AG40" s="259"/>
      <c r="AH40" s="287"/>
      <c r="AI40" s="201"/>
      <c r="AJ40" s="202"/>
      <c r="AK40" s="203"/>
      <c r="AL40" s="204"/>
      <c r="AM40" s="205"/>
      <c r="AN40" s="205"/>
      <c r="AO40" s="205"/>
    </row>
    <row r="41" spans="1:41" ht="15" customHeight="1">
      <c r="A41" s="227"/>
      <c r="B41" s="286"/>
      <c r="C41" s="278"/>
      <c r="D41" s="228" t="str">
        <f>IF(D34="yes","**FOUR SIDED FRAME**","-")</f>
        <v>-</v>
      </c>
      <c r="E41" s="182"/>
      <c r="F41" s="186"/>
      <c r="G41" s="295"/>
      <c r="H41" s="295"/>
      <c r="I41" s="295"/>
      <c r="J41" s="295"/>
      <c r="K41" s="295"/>
      <c r="L41" s="299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221"/>
      <c r="AB41" s="240"/>
      <c r="AC41" s="240"/>
      <c r="AD41" s="225"/>
      <c r="AE41" s="225"/>
      <c r="AF41" s="225"/>
      <c r="AG41" s="225"/>
      <c r="AH41" s="225"/>
      <c r="AI41" s="225"/>
      <c r="AJ41" s="225"/>
      <c r="AK41" s="225"/>
      <c r="AL41" s="224"/>
      <c r="AM41" s="300"/>
      <c r="AN41" s="300"/>
      <c r="AO41" s="300"/>
    </row>
    <row r="42" spans="1:41" ht="15.75" customHeight="1">
      <c r="A42" s="409"/>
      <c r="B42" s="408"/>
      <c r="C42" s="186"/>
      <c r="D42" s="301">
        <f>profile!C36</f>
        <v>0</v>
      </c>
      <c r="E42" s="301"/>
      <c r="F42" s="301"/>
      <c r="G42" s="301"/>
      <c r="H42" s="301"/>
      <c r="I42" s="301"/>
      <c r="J42" s="301"/>
      <c r="K42" s="301"/>
      <c r="L42" s="301"/>
      <c r="M42" s="301"/>
      <c r="N42" s="301"/>
      <c r="O42" s="301"/>
      <c r="P42" s="186"/>
      <c r="Q42" s="301"/>
      <c r="R42" s="301"/>
      <c r="S42" s="186"/>
      <c r="T42" s="186"/>
      <c r="U42" s="301"/>
      <c r="V42" s="301"/>
      <c r="W42" s="301"/>
      <c r="X42" s="186"/>
      <c r="Y42" s="301"/>
      <c r="Z42" s="301"/>
      <c r="AA42" s="221"/>
      <c r="AB42" s="240"/>
      <c r="AC42" s="240"/>
      <c r="AD42" s="225"/>
      <c r="AE42" s="225"/>
      <c r="AF42" s="225"/>
      <c r="AG42" s="225"/>
      <c r="AH42" s="225"/>
      <c r="AI42" s="225"/>
      <c r="AJ42" s="225"/>
      <c r="AK42" s="225"/>
      <c r="AL42" s="224"/>
      <c r="AM42" s="225"/>
      <c r="AN42" s="225"/>
      <c r="AO42" s="225"/>
    </row>
    <row r="43" spans="1:41" ht="15" customHeight="1">
      <c r="A43" s="285"/>
      <c r="B43" s="286"/>
      <c r="C43" s="186"/>
      <c r="D43" s="301">
        <f>profile!C37</f>
        <v>0</v>
      </c>
      <c r="E43" s="301"/>
      <c r="F43" s="301"/>
      <c r="G43" s="301"/>
      <c r="H43" s="301"/>
      <c r="I43" s="301"/>
      <c r="J43" s="301"/>
      <c r="K43" s="301"/>
      <c r="L43" s="301"/>
      <c r="M43" s="301"/>
      <c r="N43" s="301"/>
      <c r="O43" s="301"/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  <c r="AA43" s="221"/>
      <c r="AB43" s="240"/>
      <c r="AC43" s="240"/>
      <c r="AD43" s="302"/>
      <c r="AE43" s="302"/>
      <c r="AF43" s="302"/>
      <c r="AG43" s="302"/>
      <c r="AH43" s="302"/>
      <c r="AI43" s="302"/>
    </row>
    <row r="44" spans="1:41" ht="15" customHeight="1">
      <c r="A44" s="227"/>
      <c r="B44" s="286"/>
      <c r="C44" s="186"/>
      <c r="D44" s="301">
        <f>profile!C38</f>
        <v>0</v>
      </c>
      <c r="E44" s="301"/>
      <c r="F44" s="301"/>
      <c r="G44" s="301"/>
      <c r="H44" s="301"/>
      <c r="I44" s="301"/>
      <c r="J44" s="301"/>
      <c r="K44" s="301"/>
      <c r="L44" s="301"/>
      <c r="M44" s="301"/>
      <c r="N44" s="301"/>
      <c r="O44" s="301"/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  <c r="AA44" s="221"/>
      <c r="AB44" s="240"/>
      <c r="AC44" s="240"/>
    </row>
    <row r="45" spans="1:41" ht="13.8">
      <c r="A45" s="285"/>
      <c r="B45" s="286"/>
      <c r="C45" s="301"/>
      <c r="D45" s="301"/>
      <c r="E45" s="301"/>
      <c r="F45" s="301"/>
      <c r="G45" s="301"/>
      <c r="H45" s="301"/>
      <c r="I45" s="301"/>
      <c r="J45" s="301"/>
      <c r="K45" s="301"/>
      <c r="L45" s="301"/>
      <c r="M45" s="301"/>
      <c r="N45" s="301"/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  <c r="AA45" s="221"/>
      <c r="AB45" s="240"/>
      <c r="AC45" s="240"/>
    </row>
    <row r="46" spans="1:41" ht="15" customHeight="1">
      <c r="A46" s="227"/>
      <c r="B46" s="286"/>
      <c r="C46" s="228" t="s">
        <v>128</v>
      </c>
      <c r="D46" s="301"/>
      <c r="E46" s="301"/>
      <c r="F46" s="301"/>
      <c r="G46" s="303">
        <f>D40*2</f>
        <v>2</v>
      </c>
      <c r="H46" s="186" t="s">
        <v>0</v>
      </c>
      <c r="I46" s="415">
        <f>IF(D34="yes",J10+(M37*2)-2,(J10+M37))-1</f>
        <v>2037</v>
      </c>
      <c r="J46" s="415"/>
      <c r="K46" s="274" t="s">
        <v>0</v>
      </c>
      <c r="L46" s="416">
        <f>IF(N46=1.1,O39+M37+M34+P31+U31+Z35+X39-8,IF(N46=1.5,O39+M37+M34+P31+U31+Z35+X39-12))</f>
        <v>280</v>
      </c>
      <c r="M46" s="416"/>
      <c r="N46" s="304">
        <f>profile!C15</f>
        <v>1.1000000000000001</v>
      </c>
      <c r="O46" s="186" t="s">
        <v>129</v>
      </c>
      <c r="P46" s="186" t="str">
        <f>VLOOKUP(profile!C16,profile!A77:C81,2,FALSE)</f>
        <v>Zincanneal</v>
      </c>
      <c r="Q46" s="186"/>
      <c r="R46" s="186"/>
      <c r="S46" s="186"/>
      <c r="T46" s="186"/>
      <c r="U46" s="186"/>
      <c r="V46" s="418">
        <f>(I46/1000)*(L46/1000)*2</f>
        <v>1.14072</v>
      </c>
      <c r="W46" s="418"/>
      <c r="X46" s="286"/>
      <c r="Y46" s="418"/>
      <c r="Z46" s="418"/>
      <c r="AA46" s="221"/>
      <c r="AB46" s="240"/>
      <c r="AC46" s="240"/>
    </row>
    <row r="47" spans="1:41" ht="15" customHeight="1">
      <c r="A47" s="227"/>
      <c r="B47" s="305"/>
      <c r="C47" s="301"/>
      <c r="D47" s="301"/>
      <c r="E47" s="301"/>
      <c r="F47" s="301"/>
      <c r="G47" s="303">
        <f>IF(D34="yes",D40*2,D40)</f>
        <v>1</v>
      </c>
      <c r="H47" s="186" t="s">
        <v>0</v>
      </c>
      <c r="I47" s="419">
        <f>M10+(M37*2)-2</f>
        <v>874</v>
      </c>
      <c r="J47" s="419"/>
      <c r="K47" s="274" t="str">
        <f>K46</f>
        <v>x</v>
      </c>
      <c r="L47" s="416">
        <f>L46</f>
        <v>280</v>
      </c>
      <c r="M47" s="415"/>
      <c r="N47" s="304">
        <f>profile!C15</f>
        <v>1.1000000000000001</v>
      </c>
      <c r="O47" s="186" t="s">
        <v>129</v>
      </c>
      <c r="P47" s="186" t="str">
        <f>VLOOKUP(profile!C16,profile!A77:C81,2,FALSE)</f>
        <v>Zincanneal</v>
      </c>
      <c r="Q47" s="186"/>
      <c r="R47" s="186"/>
      <c r="S47" s="186"/>
      <c r="T47" s="186"/>
      <c r="U47" s="186"/>
      <c r="V47" s="418">
        <f>(I47/1000)*(L47/1000)</f>
        <v>0.24472000000000002</v>
      </c>
      <c r="W47" s="418"/>
      <c r="X47" s="286"/>
      <c r="Y47" s="418"/>
      <c r="Z47" s="418"/>
      <c r="AA47" s="221"/>
      <c r="AB47" s="240"/>
      <c r="AC47" s="240"/>
    </row>
    <row r="48" spans="1:41" ht="14.25" customHeight="1">
      <c r="A48" s="306"/>
      <c r="B48" s="258"/>
      <c r="C48" s="258"/>
      <c r="D48" s="258"/>
      <c r="E48" s="258"/>
      <c r="F48" s="258"/>
      <c r="G48" s="232" t="str">
        <f>IF(D32="1xMul",2*D40,IF(D32="2xMul",4*D40,IF(D32=".","")))</f>
        <v/>
      </c>
      <c r="H48" s="186" t="str">
        <f>IF(G48="","",IF(G48&gt;1,"x"))</f>
        <v/>
      </c>
      <c r="I48" s="415" t="str">
        <f>IF(G48="","",J10)</f>
        <v/>
      </c>
      <c r="J48" s="415"/>
      <c r="K48" s="274" t="str">
        <f>IF(G48="","",IF(G48&gt;1,"x"))</f>
        <v/>
      </c>
      <c r="L48" s="416" t="str">
        <f>IF(I48="","",B82+A81+A78+A74+B71+D71+I74-(N46*7))</f>
        <v/>
      </c>
      <c r="M48" s="416"/>
      <c r="N48" s="304" t="str">
        <f>IF(L48="","",N46)</f>
        <v/>
      </c>
      <c r="O48" s="186" t="str">
        <f>IF(N48="","",O47)</f>
        <v/>
      </c>
      <c r="P48" s="186" t="str">
        <f>IF(N48="","",P46)</f>
        <v/>
      </c>
      <c r="Q48" s="186"/>
      <c r="R48" s="186"/>
      <c r="S48" s="186"/>
      <c r="T48" s="186"/>
      <c r="U48" s="186"/>
      <c r="V48" s="418"/>
      <c r="W48" s="418"/>
      <c r="X48" s="286"/>
      <c r="Y48" s="418"/>
      <c r="Z48" s="418"/>
      <c r="AA48" s="221"/>
      <c r="AB48" s="240"/>
      <c r="AC48" s="240"/>
    </row>
    <row r="49" spans="1:29" ht="14.25" customHeight="1">
      <c r="A49" s="227"/>
      <c r="B49" s="258"/>
      <c r="C49" s="258"/>
      <c r="D49" s="258"/>
      <c r="E49" s="258"/>
      <c r="F49" s="258"/>
      <c r="G49" s="232" t="str">
        <f>IF(D33="yes",2*D40,IF(D33=".",""))</f>
        <v/>
      </c>
      <c r="H49" s="186" t="str">
        <f>IF(G49="","",IF(G49&gt;1,"x"))</f>
        <v/>
      </c>
      <c r="I49" s="415" t="str">
        <f>IF(G49="","",M10)</f>
        <v/>
      </c>
      <c r="J49" s="415"/>
      <c r="K49" s="274" t="str">
        <f>IF(G49="","",IF(G49&gt;1,"x"))</f>
        <v/>
      </c>
      <c r="L49" s="416" t="str">
        <f>IF(I49="","",B82+A81+A78+A74+B71+D71+I74-(N46*7))</f>
        <v/>
      </c>
      <c r="M49" s="416"/>
      <c r="N49" s="304" t="str">
        <f>IF(L49="","",N46)</f>
        <v/>
      </c>
      <c r="O49" s="186" t="str">
        <f>IF(N49="","",O46)</f>
        <v/>
      </c>
      <c r="P49" s="186" t="str">
        <f>IF(N49="","",P46)</f>
        <v/>
      </c>
      <c r="Q49" s="186"/>
      <c r="R49" s="186"/>
      <c r="S49" s="186"/>
      <c r="T49" s="186"/>
      <c r="U49" s="186"/>
      <c r="V49" s="418"/>
      <c r="W49" s="418"/>
      <c r="X49" s="186"/>
      <c r="Y49" s="420"/>
      <c r="Z49" s="420"/>
      <c r="AA49" s="221"/>
      <c r="AB49" s="240"/>
      <c r="AC49" s="240"/>
    </row>
    <row r="50" spans="1:29" ht="14.25" customHeight="1">
      <c r="A50" s="306"/>
      <c r="B50" s="307"/>
      <c r="C50" s="308"/>
      <c r="D50" s="258"/>
      <c r="E50" s="258"/>
      <c r="F50" s="258"/>
      <c r="G50" s="182"/>
      <c r="H50" s="182"/>
      <c r="I50" s="182"/>
      <c r="J50" s="182"/>
      <c r="K50" s="274" t="str">
        <f>IF(G50="","",IF(G50&gt;1,"x"))</f>
        <v/>
      </c>
      <c r="L50" s="182"/>
      <c r="M50" s="182"/>
      <c r="N50" s="182"/>
      <c r="O50" s="186"/>
      <c r="P50" s="186"/>
      <c r="Q50" s="186"/>
      <c r="R50" s="186"/>
      <c r="S50" s="186"/>
      <c r="T50" s="186"/>
      <c r="U50" s="186"/>
      <c r="V50" s="417">
        <f>SUM(V46:W49)</f>
        <v>1.38544</v>
      </c>
      <c r="W50" s="417"/>
      <c r="X50" s="186"/>
      <c r="Y50" s="309"/>
      <c r="Z50" s="309"/>
      <c r="AA50" s="221"/>
      <c r="AB50" s="240"/>
      <c r="AC50" s="240"/>
    </row>
    <row r="51" spans="1:29">
      <c r="A51" s="310"/>
      <c r="B51" s="311" t="s">
        <v>130</v>
      </c>
      <c r="C51" s="258"/>
      <c r="D51" s="312" t="s">
        <v>131</v>
      </c>
      <c r="E51" s="258"/>
      <c r="F51" s="258"/>
      <c r="G51" s="258"/>
      <c r="H51" s="258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221"/>
      <c r="AB51" s="240"/>
      <c r="AC51" s="240"/>
    </row>
    <row r="52" spans="1:29">
      <c r="A52" s="227"/>
      <c r="B52" s="412"/>
      <c r="C52" s="412"/>
      <c r="D52" s="412"/>
      <c r="E52" s="425"/>
      <c r="F52" s="425"/>
      <c r="G52" s="425"/>
      <c r="H52" s="186"/>
      <c r="I52" s="186"/>
      <c r="J52" s="274"/>
      <c r="K52" s="274"/>
      <c r="L52" s="274"/>
      <c r="M52" s="274"/>
      <c r="N52" s="412"/>
      <c r="O52" s="412"/>
      <c r="P52" s="412"/>
      <c r="Q52" s="412"/>
      <c r="R52" s="412"/>
      <c r="S52" s="412"/>
      <c r="T52" s="412"/>
      <c r="U52" s="412"/>
      <c r="V52" s="412"/>
      <c r="W52" s="412"/>
      <c r="X52" s="412"/>
      <c r="Y52" s="412"/>
      <c r="Z52" s="186"/>
      <c r="AA52" s="221"/>
      <c r="AB52" s="240"/>
      <c r="AC52" s="240"/>
    </row>
    <row r="53" spans="1:29" ht="14.4">
      <c r="A53" s="227"/>
      <c r="B53" s="424"/>
      <c r="C53" s="424"/>
      <c r="D53" s="412"/>
      <c r="E53" s="425"/>
      <c r="F53" s="425"/>
      <c r="G53" s="425"/>
      <c r="H53" s="274"/>
      <c r="I53" s="274"/>
      <c r="J53" s="274"/>
      <c r="K53" s="274"/>
      <c r="L53" s="274"/>
      <c r="M53" s="274"/>
      <c r="N53" s="412"/>
      <c r="O53" s="412"/>
      <c r="P53" s="412"/>
      <c r="Q53" s="412"/>
      <c r="R53" s="412"/>
      <c r="S53" s="412"/>
      <c r="T53" s="412"/>
      <c r="U53" s="412"/>
      <c r="V53" s="412"/>
      <c r="W53" s="412"/>
      <c r="X53" s="412"/>
      <c r="Y53" s="412"/>
      <c r="Z53" s="186"/>
      <c r="AA53" s="221"/>
      <c r="AB53" s="240"/>
      <c r="AC53" s="240"/>
    </row>
    <row r="54" spans="1:29">
      <c r="A54" s="313"/>
      <c r="B54" s="421"/>
      <c r="C54" s="421"/>
      <c r="D54" s="421"/>
      <c r="E54" s="421"/>
      <c r="F54" s="421"/>
      <c r="G54" s="421"/>
      <c r="H54" s="228"/>
      <c r="I54" s="186"/>
      <c r="J54" s="274"/>
      <c r="K54" s="274"/>
      <c r="L54" s="274"/>
      <c r="M54" s="274"/>
      <c r="N54" s="412"/>
      <c r="O54" s="412"/>
      <c r="P54" s="412"/>
      <c r="Q54" s="412"/>
      <c r="R54" s="412"/>
      <c r="S54" s="412"/>
      <c r="T54" s="412"/>
      <c r="U54" s="412"/>
      <c r="V54" s="412"/>
      <c r="W54" s="412"/>
      <c r="X54" s="412"/>
      <c r="Y54" s="412"/>
      <c r="Z54" s="186"/>
      <c r="AA54" s="221"/>
      <c r="AB54" s="240"/>
      <c r="AC54" s="240"/>
    </row>
    <row r="55" spans="1:29" ht="15.75" customHeight="1">
      <c r="A55" s="314"/>
      <c r="B55" s="426"/>
      <c r="C55" s="426"/>
      <c r="D55" s="426"/>
      <c r="E55" s="426"/>
      <c r="F55" s="426"/>
      <c r="G55" s="426"/>
      <c r="H55" s="315"/>
      <c r="I55" s="315"/>
      <c r="J55" s="315"/>
      <c r="K55" s="315"/>
      <c r="L55" s="315"/>
      <c r="M55" s="315"/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216"/>
      <c r="AA55" s="316"/>
      <c r="AB55" s="240"/>
      <c r="AC55" s="240"/>
    </row>
    <row r="56" spans="1:29">
      <c r="A56" s="197"/>
      <c r="B56" s="197"/>
      <c r="C56" s="197"/>
      <c r="D56" s="197"/>
      <c r="E56" s="291"/>
      <c r="F56" s="186"/>
      <c r="G56" s="186"/>
      <c r="H56" s="186"/>
      <c r="I56" s="186"/>
      <c r="J56" s="186"/>
      <c r="K56" s="186"/>
      <c r="L56" s="186"/>
      <c r="M56" s="186"/>
      <c r="N56" s="186"/>
      <c r="O56" s="186"/>
      <c r="P56" s="186"/>
      <c r="Q56" s="186"/>
      <c r="R56" s="186"/>
      <c r="S56" s="186"/>
      <c r="T56" s="186"/>
      <c r="U56" s="240"/>
      <c r="V56" s="240"/>
      <c r="W56" s="240"/>
      <c r="X56" s="240"/>
      <c r="Y56" s="240"/>
      <c r="Z56" s="240"/>
      <c r="AA56" s="240"/>
      <c r="AB56" s="240"/>
      <c r="AC56" s="240"/>
    </row>
    <row r="57" spans="1:29">
      <c r="A57" s="197"/>
      <c r="B57" s="197"/>
      <c r="C57" s="197"/>
      <c r="D57" s="197"/>
      <c r="E57" s="291"/>
      <c r="F57" s="240"/>
      <c r="G57" s="240"/>
      <c r="H57" s="240"/>
      <c r="I57" s="240"/>
      <c r="J57" s="240"/>
      <c r="K57" s="240"/>
      <c r="L57" s="240"/>
      <c r="M57" s="240"/>
      <c r="N57" s="240"/>
      <c r="O57" s="240"/>
      <c r="P57" s="240"/>
      <c r="Q57" s="240"/>
      <c r="R57" s="240"/>
      <c r="S57" s="240"/>
      <c r="T57" s="240"/>
      <c r="U57" s="240"/>
      <c r="V57" s="240"/>
      <c r="W57" s="240"/>
      <c r="X57" s="240"/>
      <c r="Y57" s="240"/>
      <c r="Z57" s="240"/>
      <c r="AA57" s="240"/>
      <c r="AB57" s="240"/>
      <c r="AC57" s="240"/>
    </row>
    <row r="58" spans="1:29">
      <c r="A58" s="197"/>
      <c r="B58" s="197"/>
      <c r="C58" s="197"/>
      <c r="D58" s="197"/>
      <c r="E58" s="291"/>
      <c r="F58" s="186"/>
      <c r="G58" s="186"/>
      <c r="H58" s="186"/>
      <c r="I58" s="240"/>
      <c r="J58" s="240"/>
      <c r="K58" s="240"/>
      <c r="L58" s="240"/>
      <c r="M58" s="240"/>
      <c r="N58" s="240"/>
      <c r="O58" s="240"/>
      <c r="P58" s="240"/>
      <c r="Q58" s="240"/>
      <c r="R58" s="240"/>
      <c r="S58" s="240"/>
      <c r="T58" s="240"/>
      <c r="U58" s="240"/>
      <c r="V58" s="240"/>
      <c r="W58" s="240"/>
      <c r="X58" s="240"/>
      <c r="Y58" s="240"/>
      <c r="Z58" s="240"/>
      <c r="AA58" s="240"/>
      <c r="AB58" s="240"/>
      <c r="AC58" s="240"/>
    </row>
    <row r="59" spans="1:29">
      <c r="A59" s="197"/>
      <c r="B59" s="197"/>
      <c r="C59" s="197"/>
      <c r="D59" s="197"/>
      <c r="E59" s="291"/>
      <c r="F59" s="186"/>
      <c r="G59" s="186"/>
      <c r="H59" s="186"/>
      <c r="I59" s="240"/>
      <c r="J59" s="240"/>
      <c r="K59" s="240"/>
      <c r="L59" s="240"/>
      <c r="M59" s="240"/>
      <c r="N59" s="240"/>
      <c r="O59" s="240"/>
      <c r="P59" s="240"/>
      <c r="Q59" s="240"/>
      <c r="R59" s="240"/>
      <c r="S59" s="240"/>
      <c r="T59" s="240"/>
      <c r="U59" s="240"/>
      <c r="V59" s="240"/>
      <c r="W59" s="240"/>
      <c r="X59" s="240"/>
      <c r="Y59" s="240"/>
      <c r="Z59" s="240"/>
      <c r="AA59" s="240"/>
      <c r="AB59" s="240"/>
      <c r="AC59" s="240"/>
    </row>
    <row r="60" spans="1:29">
      <c r="A60" s="197"/>
      <c r="B60" s="197"/>
      <c r="C60" s="197"/>
      <c r="D60" s="197"/>
      <c r="E60" s="291"/>
      <c r="F60" s="186"/>
      <c r="G60" s="186"/>
      <c r="H60" s="186"/>
      <c r="I60" s="240"/>
      <c r="J60" s="240"/>
      <c r="K60" s="240"/>
      <c r="L60" s="240"/>
      <c r="M60" s="240"/>
      <c r="N60" s="240"/>
      <c r="O60" s="240"/>
      <c r="P60" s="240"/>
      <c r="Q60" s="240"/>
      <c r="R60" s="240"/>
      <c r="S60" s="240"/>
      <c r="T60" s="240"/>
      <c r="U60" s="240"/>
      <c r="V60" s="240"/>
      <c r="W60" s="240"/>
      <c r="X60" s="240"/>
      <c r="Y60" s="240"/>
      <c r="Z60" s="240"/>
      <c r="AA60" s="240"/>
      <c r="AB60" s="240"/>
      <c r="AC60" s="240"/>
    </row>
    <row r="61" spans="1:29">
      <c r="A61" s="240"/>
      <c r="B61" s="240"/>
      <c r="C61" s="240"/>
      <c r="D61" s="240"/>
      <c r="E61" s="240"/>
      <c r="F61" s="186"/>
      <c r="G61" s="186"/>
      <c r="H61" s="186"/>
      <c r="I61" s="240"/>
      <c r="J61" s="240"/>
      <c r="K61" s="240"/>
      <c r="L61" s="240"/>
      <c r="M61" s="240"/>
      <c r="N61" s="240"/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/>
    </row>
    <row r="62" spans="1:29">
      <c r="A62" s="240"/>
      <c r="B62" s="240"/>
      <c r="C62" s="240"/>
      <c r="D62" s="240"/>
      <c r="E62" s="240"/>
      <c r="F62" s="186"/>
      <c r="G62" s="186"/>
      <c r="H62" s="186"/>
      <c r="I62" s="240"/>
      <c r="J62" s="240"/>
      <c r="K62" s="240"/>
      <c r="L62" s="240"/>
      <c r="M62" s="240"/>
      <c r="N62" s="240"/>
      <c r="O62" s="240"/>
      <c r="P62" s="240"/>
      <c r="Q62" s="240"/>
      <c r="R62" s="240"/>
      <c r="S62" s="240"/>
      <c r="T62" s="240"/>
      <c r="U62" s="240"/>
      <c r="V62" s="240"/>
      <c r="W62" s="240"/>
      <c r="X62" s="240"/>
      <c r="Y62" s="240"/>
      <c r="Z62" s="240"/>
      <c r="AA62" s="240"/>
      <c r="AB62" s="240"/>
      <c r="AC62" s="240"/>
    </row>
    <row r="63" spans="1:29">
      <c r="F63" s="307"/>
      <c r="G63" s="307"/>
      <c r="H63" s="307"/>
    </row>
    <row r="64" spans="1:29">
      <c r="F64" s="307"/>
      <c r="G64" s="307"/>
      <c r="H64" s="307"/>
    </row>
    <row r="65" spans="1:29">
      <c r="F65" s="307"/>
      <c r="G65" s="307"/>
      <c r="H65" s="307"/>
    </row>
    <row r="66" spans="1:29">
      <c r="F66" s="307"/>
      <c r="G66" s="307"/>
      <c r="H66" s="307"/>
    </row>
    <row r="67" spans="1:29">
      <c r="F67" s="307"/>
      <c r="G67" s="307"/>
      <c r="H67" s="307"/>
    </row>
    <row r="68" spans="1:29">
      <c r="F68" s="307"/>
      <c r="G68" s="307"/>
      <c r="H68" s="307"/>
      <c r="I68" s="307"/>
      <c r="J68" s="307"/>
      <c r="K68" s="307"/>
      <c r="L68" s="307"/>
      <c r="M68" s="307"/>
      <c r="N68" s="307"/>
      <c r="O68" s="307"/>
    </row>
    <row r="69" spans="1:29">
      <c r="F69" s="307"/>
      <c r="G69" s="307"/>
      <c r="H69" s="307"/>
      <c r="I69" s="307"/>
      <c r="J69" s="307"/>
      <c r="K69" s="307"/>
      <c r="L69" s="307"/>
      <c r="M69" s="307"/>
      <c r="N69" s="307"/>
      <c r="O69" s="307"/>
    </row>
    <row r="70" spans="1:29">
      <c r="A70" s="307"/>
      <c r="F70" s="307"/>
      <c r="G70" s="307"/>
      <c r="H70" s="307"/>
      <c r="I70" s="307"/>
      <c r="J70" s="307"/>
      <c r="K70" s="307"/>
      <c r="L70" s="307"/>
      <c r="M70" s="307"/>
      <c r="N70" s="307"/>
      <c r="O70" s="307"/>
      <c r="Q70" s="317">
        <f>P31</f>
        <v>40</v>
      </c>
      <c r="T70" s="318">
        <f>U31</f>
        <v>98</v>
      </c>
      <c r="W70" s="191">
        <f>W31</f>
        <v>0</v>
      </c>
      <c r="Z70" s="307"/>
      <c r="AA70" s="307"/>
      <c r="AB70" s="307"/>
      <c r="AC70" s="307"/>
    </row>
    <row r="71" spans="1:29">
      <c r="A71" s="307"/>
      <c r="B71" s="317">
        <f>P31</f>
        <v>40</v>
      </c>
      <c r="D71" s="191">
        <f>U31</f>
        <v>98</v>
      </c>
      <c r="F71" s="307"/>
      <c r="G71" s="307"/>
      <c r="H71" s="307"/>
      <c r="I71" s="307"/>
      <c r="J71" s="307"/>
      <c r="K71" s="307"/>
      <c r="L71" s="307"/>
      <c r="M71" s="307"/>
      <c r="N71" s="307"/>
      <c r="O71" s="307"/>
      <c r="Z71" s="307"/>
      <c r="AA71" s="307"/>
      <c r="AB71" s="307"/>
      <c r="AC71" s="307"/>
    </row>
    <row r="72" spans="1:29">
      <c r="A72" s="302"/>
      <c r="B72" s="302"/>
      <c r="C72" s="302"/>
      <c r="D72" s="302"/>
      <c r="E72" s="302"/>
      <c r="F72" s="307"/>
      <c r="G72" s="307"/>
      <c r="H72" s="307"/>
      <c r="I72" s="307"/>
      <c r="J72" s="307"/>
      <c r="K72" s="307"/>
      <c r="L72" s="307"/>
      <c r="M72" s="307"/>
      <c r="N72" s="307"/>
      <c r="O72" s="307"/>
      <c r="Z72" s="307"/>
      <c r="AA72" s="307"/>
      <c r="AB72" s="307"/>
      <c r="AC72" s="307"/>
    </row>
    <row r="73" spans="1:29">
      <c r="A73" s="302"/>
      <c r="B73" s="302"/>
      <c r="C73" s="302"/>
      <c r="D73" s="302"/>
      <c r="E73" s="302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Z73" s="307"/>
      <c r="AA73" s="307"/>
      <c r="AB73" s="307"/>
      <c r="AC73" s="307"/>
    </row>
    <row r="74" spans="1:29">
      <c r="A74" s="302">
        <f>M34</f>
        <v>25</v>
      </c>
      <c r="B74" s="302"/>
      <c r="C74" s="302"/>
      <c r="D74" s="302"/>
      <c r="E74" s="302"/>
      <c r="F74" s="307"/>
      <c r="G74" s="307"/>
      <c r="H74" s="307"/>
      <c r="I74" s="307">
        <f>A74</f>
        <v>25</v>
      </c>
      <c r="J74" s="307"/>
      <c r="K74" s="307"/>
      <c r="L74" s="307"/>
      <c r="M74" s="307"/>
      <c r="N74" s="307">
        <f>M34</f>
        <v>25</v>
      </c>
      <c r="O74" s="307"/>
      <c r="Z74" s="307">
        <f>N74</f>
        <v>25</v>
      </c>
      <c r="AA74" s="307"/>
      <c r="AB74" s="307"/>
      <c r="AC74" s="307"/>
    </row>
    <row r="75" spans="1:29">
      <c r="A75" s="302"/>
      <c r="B75" s="302"/>
      <c r="C75" s="302"/>
      <c r="D75" s="302"/>
      <c r="E75" s="302"/>
      <c r="F75" s="307"/>
      <c r="G75" s="307"/>
      <c r="H75" s="307"/>
      <c r="I75" s="307"/>
      <c r="J75" s="307"/>
      <c r="K75" s="307"/>
      <c r="L75" s="307"/>
      <c r="M75" s="307"/>
      <c r="N75" s="307"/>
      <c r="O75" s="307"/>
      <c r="Z75" s="307"/>
      <c r="AA75" s="307"/>
      <c r="AB75" s="307"/>
      <c r="AC75" s="307"/>
    </row>
    <row r="76" spans="1:29">
      <c r="A76" s="302"/>
      <c r="B76" s="302"/>
      <c r="C76" s="302"/>
      <c r="D76" s="302"/>
      <c r="E76" s="302"/>
      <c r="F76" s="307"/>
      <c r="G76" s="307"/>
      <c r="H76" s="307"/>
      <c r="I76" s="307"/>
      <c r="J76" s="307"/>
      <c r="K76" s="307"/>
      <c r="L76" s="307"/>
      <c r="M76" s="307"/>
      <c r="N76" s="307"/>
      <c r="O76" s="307"/>
      <c r="Z76" s="307"/>
      <c r="AA76" s="307"/>
      <c r="AB76" s="307"/>
      <c r="AC76" s="307"/>
    </row>
    <row r="77" spans="1:29">
      <c r="A77" s="302"/>
      <c r="B77" s="302"/>
      <c r="C77" s="302"/>
      <c r="D77" s="302"/>
      <c r="E77" s="302"/>
      <c r="F77" s="307"/>
      <c r="G77" s="307"/>
      <c r="H77" s="307"/>
      <c r="I77" s="307"/>
      <c r="J77" s="307"/>
      <c r="K77" s="307"/>
      <c r="L77" s="307"/>
      <c r="M77" s="307"/>
      <c r="N77" s="307">
        <f>M37</f>
        <v>38</v>
      </c>
      <c r="O77" s="307"/>
      <c r="Z77" s="307">
        <f>N77</f>
        <v>38</v>
      </c>
      <c r="AA77" s="307"/>
      <c r="AB77" s="307"/>
      <c r="AC77" s="307"/>
    </row>
    <row r="78" spans="1:29">
      <c r="A78" s="302">
        <f>M37</f>
        <v>38</v>
      </c>
      <c r="B78" s="302"/>
      <c r="C78" s="302"/>
      <c r="D78" s="302"/>
      <c r="E78" s="302"/>
      <c r="F78" s="307"/>
      <c r="G78" s="307"/>
      <c r="H78" s="307"/>
      <c r="I78" s="307"/>
      <c r="J78" s="307"/>
      <c r="K78" s="307"/>
      <c r="L78" s="307"/>
      <c r="M78" s="307"/>
      <c r="N78" s="307"/>
      <c r="O78" s="307"/>
      <c r="Z78" s="307"/>
      <c r="AA78" s="307"/>
      <c r="AB78" s="307"/>
      <c r="AC78" s="307"/>
    </row>
    <row r="79" spans="1:29">
      <c r="A79" s="302"/>
      <c r="B79" s="302"/>
      <c r="C79" s="302"/>
      <c r="D79" s="302"/>
      <c r="E79" s="302"/>
      <c r="F79" s="307"/>
      <c r="G79" s="307"/>
      <c r="H79" s="307"/>
      <c r="I79" s="307"/>
      <c r="J79" s="307"/>
      <c r="K79" s="307"/>
      <c r="L79" s="307"/>
      <c r="M79" s="307"/>
      <c r="N79" s="307"/>
      <c r="O79" s="307"/>
      <c r="Z79" s="307"/>
      <c r="AA79" s="307"/>
      <c r="AB79" s="307"/>
      <c r="AC79" s="307"/>
    </row>
    <row r="80" spans="1:29">
      <c r="A80" s="302"/>
      <c r="B80" s="302"/>
      <c r="C80" s="302"/>
      <c r="D80" s="302"/>
      <c r="E80" s="302"/>
      <c r="F80" s="307"/>
      <c r="G80" s="307"/>
      <c r="H80" s="307"/>
      <c r="I80" s="307"/>
      <c r="J80" s="307"/>
      <c r="K80" s="307"/>
      <c r="L80" s="307"/>
      <c r="M80" s="307"/>
      <c r="N80" s="307">
        <v>12</v>
      </c>
      <c r="O80" s="307"/>
      <c r="Z80" s="307">
        <v>12</v>
      </c>
      <c r="AA80" s="307"/>
      <c r="AB80" s="307"/>
      <c r="AC80" s="307"/>
    </row>
    <row r="81" spans="1:29">
      <c r="A81" s="302">
        <f>M34-3</f>
        <v>22</v>
      </c>
      <c r="B81" s="302"/>
      <c r="C81" s="302"/>
      <c r="D81" s="302"/>
      <c r="E81" s="302"/>
      <c r="F81" s="307"/>
      <c r="G81" s="307"/>
      <c r="H81" s="307"/>
      <c r="I81" s="307"/>
      <c r="J81" s="307"/>
      <c r="K81" s="307"/>
      <c r="L81" s="307"/>
      <c r="M81" s="307"/>
      <c r="N81" s="307"/>
      <c r="O81" s="307"/>
      <c r="Q81" s="317">
        <f>Q70+2</f>
        <v>42</v>
      </c>
      <c r="W81" s="191">
        <f>W70+2</f>
        <v>2</v>
      </c>
      <c r="Z81" s="307"/>
      <c r="AA81" s="307"/>
      <c r="AB81" s="307"/>
      <c r="AC81" s="307"/>
    </row>
    <row r="82" spans="1:29">
      <c r="A82" s="302"/>
      <c r="B82" s="319">
        <f>B71+2</f>
        <v>42</v>
      </c>
      <c r="C82" s="302"/>
      <c r="D82" s="302"/>
      <c r="E82" s="302"/>
      <c r="F82" s="307"/>
      <c r="G82" s="307"/>
      <c r="H82" s="307"/>
      <c r="I82" s="307"/>
      <c r="J82" s="307"/>
      <c r="K82" s="307"/>
      <c r="L82" s="307"/>
      <c r="M82" s="307"/>
      <c r="N82" s="307"/>
      <c r="O82" s="307"/>
    </row>
    <row r="83" spans="1:29">
      <c r="A83" s="302"/>
      <c r="B83" s="302"/>
      <c r="C83" s="302"/>
      <c r="D83" s="302"/>
      <c r="E83" s="302"/>
      <c r="F83" s="307"/>
      <c r="G83" s="307"/>
      <c r="H83" s="307"/>
      <c r="I83" s="307"/>
      <c r="J83" s="307"/>
      <c r="K83" s="307"/>
      <c r="L83" s="307"/>
      <c r="M83" s="307"/>
      <c r="N83" s="307"/>
      <c r="O83" s="307"/>
    </row>
    <row r="84" spans="1:29">
      <c r="A84" s="302"/>
      <c r="B84" s="302"/>
      <c r="C84" s="302"/>
      <c r="D84" s="302"/>
      <c r="E84" s="302"/>
      <c r="F84" s="307"/>
      <c r="G84" s="307"/>
      <c r="H84" s="307"/>
      <c r="I84" s="307"/>
      <c r="J84" s="307"/>
      <c r="K84" s="307"/>
      <c r="L84" s="307"/>
      <c r="M84" s="307"/>
      <c r="N84" s="307"/>
      <c r="O84" s="307"/>
    </row>
    <row r="85" spans="1:29">
      <c r="A85" s="302"/>
      <c r="B85" s="302"/>
      <c r="C85" s="302"/>
      <c r="D85" s="302"/>
      <c r="E85" s="302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Q85" s="191">
        <f>N74</f>
        <v>25</v>
      </c>
      <c r="W85" s="191">
        <f>Z74</f>
        <v>25</v>
      </c>
    </row>
    <row r="86" spans="1:29">
      <c r="A86" s="302"/>
      <c r="B86" s="302"/>
      <c r="C86" s="302"/>
      <c r="D86" s="302"/>
      <c r="E86" s="302"/>
      <c r="F86" s="307"/>
      <c r="G86" s="307"/>
      <c r="H86" s="307"/>
      <c r="I86" s="307"/>
      <c r="J86" s="307"/>
      <c r="K86" s="307"/>
      <c r="L86" s="307"/>
      <c r="M86" s="307"/>
      <c r="N86" s="307"/>
      <c r="O86" s="307"/>
    </row>
    <row r="87" spans="1:29">
      <c r="A87" s="302"/>
      <c r="B87" s="302"/>
      <c r="C87" s="302"/>
      <c r="D87" s="302"/>
      <c r="E87" s="302"/>
      <c r="F87" s="307"/>
      <c r="G87" s="307"/>
      <c r="H87" s="307"/>
      <c r="I87" s="307"/>
      <c r="J87" s="307"/>
      <c r="K87" s="307"/>
      <c r="L87" s="307"/>
      <c r="M87" s="307"/>
      <c r="N87" s="307"/>
      <c r="O87" s="307"/>
      <c r="T87" s="318">
        <f>T70</f>
        <v>98</v>
      </c>
    </row>
    <row r="88" spans="1:29">
      <c r="A88" s="302"/>
      <c r="B88" s="302"/>
      <c r="C88" s="302"/>
      <c r="D88" s="302"/>
      <c r="E88" s="302"/>
      <c r="F88" s="307"/>
      <c r="G88" s="307"/>
      <c r="H88" s="307"/>
      <c r="I88" s="307"/>
      <c r="J88" s="307"/>
      <c r="K88" s="307"/>
      <c r="L88" s="307"/>
      <c r="M88" s="307"/>
      <c r="N88" s="307"/>
      <c r="O88" s="307"/>
    </row>
    <row r="89" spans="1:29">
      <c r="A89" s="302"/>
      <c r="B89" s="302"/>
      <c r="C89" s="302"/>
      <c r="D89" s="302"/>
      <c r="E89" s="302"/>
      <c r="F89" s="307"/>
      <c r="G89" s="307"/>
      <c r="H89" s="307"/>
      <c r="I89" s="307"/>
      <c r="J89" s="307"/>
      <c r="K89" s="307"/>
      <c r="L89" s="307"/>
      <c r="M89" s="307"/>
      <c r="N89" s="307"/>
      <c r="O89" s="307"/>
    </row>
    <row r="90" spans="1:29">
      <c r="A90" s="302"/>
      <c r="B90" s="302"/>
      <c r="C90" s="302"/>
      <c r="D90" s="302"/>
      <c r="E90" s="302"/>
      <c r="F90" s="307"/>
      <c r="G90" s="307"/>
      <c r="H90" s="307"/>
      <c r="I90" s="307"/>
      <c r="J90" s="307"/>
      <c r="K90" s="307"/>
      <c r="L90" s="307"/>
      <c r="M90" s="307"/>
      <c r="N90" s="307"/>
      <c r="O90" s="307"/>
    </row>
    <row r="91" spans="1:29">
      <c r="A91" s="302"/>
      <c r="B91" s="302"/>
      <c r="C91" s="302"/>
      <c r="D91" s="302"/>
      <c r="E91" s="302"/>
      <c r="F91" s="307"/>
      <c r="G91" s="307"/>
      <c r="H91" s="307"/>
      <c r="I91" s="307"/>
      <c r="J91" s="307"/>
      <c r="K91" s="307"/>
      <c r="L91" s="307"/>
      <c r="M91" s="307"/>
      <c r="N91" s="307"/>
      <c r="O91" s="307"/>
    </row>
    <row r="92" spans="1:29">
      <c r="A92" s="302"/>
      <c r="B92" s="302"/>
      <c r="C92" s="302"/>
      <c r="D92" s="302"/>
      <c r="E92" s="302"/>
      <c r="F92" s="307"/>
      <c r="G92" s="307"/>
      <c r="H92" s="307"/>
      <c r="I92" s="307"/>
      <c r="J92" s="307"/>
      <c r="K92" s="307"/>
      <c r="L92" s="307"/>
      <c r="M92" s="307"/>
      <c r="N92" s="307"/>
      <c r="O92" s="307"/>
    </row>
    <row r="93" spans="1:29">
      <c r="A93" s="302"/>
      <c r="B93" s="302"/>
      <c r="C93" s="302"/>
      <c r="D93" s="302"/>
      <c r="E93" s="302"/>
      <c r="F93" s="307"/>
      <c r="G93" s="307"/>
      <c r="H93" s="307"/>
      <c r="I93" s="307"/>
      <c r="J93" s="307"/>
      <c r="K93" s="307"/>
      <c r="L93" s="307"/>
      <c r="M93" s="307"/>
      <c r="N93" s="307"/>
      <c r="O93" s="307"/>
    </row>
    <row r="94" spans="1:29">
      <c r="A94" s="307"/>
      <c r="B94" s="307"/>
      <c r="C94" s="307"/>
      <c r="D94" s="307"/>
      <c r="E94" s="307"/>
      <c r="F94" s="307"/>
      <c r="G94" s="307"/>
      <c r="H94" s="307"/>
      <c r="I94" s="307"/>
      <c r="J94" s="307"/>
      <c r="K94" s="307"/>
      <c r="L94" s="307"/>
      <c r="M94" s="307"/>
      <c r="N94" s="307"/>
      <c r="O94" s="307"/>
    </row>
    <row r="95" spans="1:29">
      <c r="A95" s="307"/>
      <c r="B95" s="307"/>
      <c r="C95" s="307"/>
      <c r="D95" s="307"/>
      <c r="E95" s="307"/>
      <c r="F95" s="307"/>
      <c r="G95" s="307"/>
      <c r="H95" s="307"/>
      <c r="I95" s="307"/>
      <c r="J95" s="307"/>
      <c r="K95" s="307"/>
      <c r="L95" s="307"/>
      <c r="M95" s="307"/>
      <c r="N95" s="307"/>
      <c r="O95" s="307"/>
    </row>
    <row r="96" spans="1:29">
      <c r="A96" s="307"/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</row>
    <row r="97" spans="1:15">
      <c r="A97" s="307"/>
      <c r="B97" s="307"/>
      <c r="C97" s="307"/>
      <c r="D97" s="307"/>
      <c r="E97" s="307"/>
      <c r="F97" s="307"/>
      <c r="G97" s="307"/>
      <c r="H97" s="307"/>
      <c r="I97" s="307"/>
      <c r="J97" s="307"/>
      <c r="K97" s="307"/>
      <c r="L97" s="307"/>
      <c r="M97" s="307"/>
      <c r="N97" s="307"/>
      <c r="O97" s="307"/>
    </row>
    <row r="98" spans="1:15">
      <c r="A98" s="307"/>
      <c r="B98" s="307"/>
      <c r="C98" s="307"/>
      <c r="D98" s="307"/>
      <c r="E98" s="307"/>
      <c r="F98" s="307"/>
      <c r="G98" s="307"/>
      <c r="H98" s="307"/>
      <c r="I98" s="307"/>
      <c r="J98" s="307"/>
      <c r="K98" s="307"/>
      <c r="L98" s="307"/>
      <c r="M98" s="307"/>
      <c r="N98" s="307"/>
      <c r="O98" s="307"/>
    </row>
    <row r="99" spans="1:15">
      <c r="A99" s="307"/>
      <c r="B99" s="307"/>
      <c r="C99" s="307"/>
      <c r="D99" s="307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</row>
    <row r="100" spans="1:15">
      <c r="A100" s="307"/>
      <c r="B100" s="307"/>
      <c r="C100" s="307"/>
      <c r="D100" s="307"/>
      <c r="E100" s="307"/>
      <c r="F100" s="307"/>
      <c r="G100" s="307"/>
      <c r="H100" s="307"/>
    </row>
    <row r="101" spans="1:15">
      <c r="A101" s="307"/>
      <c r="B101" s="307"/>
      <c r="C101" s="307"/>
      <c r="D101" s="307"/>
      <c r="E101" s="307"/>
      <c r="F101" s="307"/>
      <c r="G101" s="307"/>
      <c r="H101" s="307"/>
    </row>
    <row r="102" spans="1:15">
      <c r="A102" s="307"/>
      <c r="B102" s="307"/>
      <c r="C102" s="307"/>
      <c r="D102" s="307"/>
      <c r="E102" s="307"/>
      <c r="F102" s="307"/>
      <c r="G102" s="307"/>
      <c r="H102" s="307"/>
    </row>
    <row r="103" spans="1:15">
      <c r="A103" s="307"/>
      <c r="B103" s="307"/>
      <c r="C103" s="307"/>
      <c r="D103" s="307"/>
      <c r="E103" s="307"/>
      <c r="F103" s="307"/>
      <c r="G103" s="307"/>
      <c r="H103" s="307"/>
    </row>
  </sheetData>
  <sheetProtection formatCells="0" selectLockedCells="1"/>
  <mergeCells count="67">
    <mergeCell ref="D20:E20"/>
    <mergeCell ref="V55:Y55"/>
    <mergeCell ref="B53:C53"/>
    <mergeCell ref="D53:G53"/>
    <mergeCell ref="N53:Q53"/>
    <mergeCell ref="R53:U53"/>
    <mergeCell ref="V53:Y53"/>
    <mergeCell ref="V54:Y54"/>
    <mergeCell ref="B52:C52"/>
    <mergeCell ref="D52:G52"/>
    <mergeCell ref="N52:Q52"/>
    <mergeCell ref="R52:U52"/>
    <mergeCell ref="B55:C55"/>
    <mergeCell ref="D55:G55"/>
    <mergeCell ref="N55:Q55"/>
    <mergeCell ref="R55:U55"/>
    <mergeCell ref="B54:C54"/>
    <mergeCell ref="D54:G54"/>
    <mergeCell ref="N54:Q54"/>
    <mergeCell ref="R54:U54"/>
    <mergeCell ref="V52:Y52"/>
    <mergeCell ref="V50:W50"/>
    <mergeCell ref="V46:W46"/>
    <mergeCell ref="Y46:Z46"/>
    <mergeCell ref="I47:J47"/>
    <mergeCell ref="L47:M47"/>
    <mergeCell ref="V47:W47"/>
    <mergeCell ref="Y47:Z47"/>
    <mergeCell ref="I48:J48"/>
    <mergeCell ref="L48:M48"/>
    <mergeCell ref="V48:W48"/>
    <mergeCell ref="Y48:Z48"/>
    <mergeCell ref="I49:J49"/>
    <mergeCell ref="L49:M49"/>
    <mergeCell ref="V49:W49"/>
    <mergeCell ref="Y49:Z49"/>
    <mergeCell ref="S39:T39"/>
    <mergeCell ref="A40:C40"/>
    <mergeCell ref="A42:B42"/>
    <mergeCell ref="I46:J46"/>
    <mergeCell ref="L46:M46"/>
    <mergeCell ref="E21:F21"/>
    <mergeCell ref="E22:F22"/>
    <mergeCell ref="D23:E23"/>
    <mergeCell ref="U31:V31"/>
    <mergeCell ref="Q36:R36"/>
    <mergeCell ref="Q10:R10"/>
    <mergeCell ref="D11:Q11"/>
    <mergeCell ref="D12:Q12"/>
    <mergeCell ref="D14:E14"/>
    <mergeCell ref="A19:C19"/>
    <mergeCell ref="J9:K9"/>
    <mergeCell ref="A10:C10"/>
    <mergeCell ref="H10:I10"/>
    <mergeCell ref="J10:K10"/>
    <mergeCell ref="M10:N10"/>
    <mergeCell ref="D4:M4"/>
    <mergeCell ref="W4:Y4"/>
    <mergeCell ref="D5:M5"/>
    <mergeCell ref="D6:M6"/>
    <mergeCell ref="D7:M7"/>
    <mergeCell ref="A2:C2"/>
    <mergeCell ref="D2:M2"/>
    <mergeCell ref="V2:Y2"/>
    <mergeCell ref="A3:C3"/>
    <mergeCell ref="D3:I3"/>
    <mergeCell ref="W3:Y3"/>
  </mergeCells>
  <phoneticPr fontId="28" type="noConversion"/>
  <dataValidations count="2">
    <dataValidation type="list" showInputMessage="1" showErrorMessage="1" sqref="D31" xr:uid="{00000000-0002-0000-0100-000000000000}">
      <formula1>"None, 19mm, 22mm"</formula1>
    </dataValidation>
    <dataValidation showInputMessage="1" showErrorMessage="1" sqref="D32:D33 D37 D35 D20 D13 N46:N49 D19:E19" xr:uid="{00000000-0002-0000-0100-000001000000}"/>
  </dataValidations>
  <pageMargins left="0.34" right="0.24" top="0.39370078740157483" bottom="0.31496062992125984" header="0.39370078740157483" footer="0.31496062992125984"/>
  <pageSetup paperSize="9" scale="95" pageOrder="overThenDown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3:AO79"/>
  <sheetViews>
    <sheetView zoomScale="40" zoomScaleNormal="40" workbookViewId="0">
      <selection activeCell="U43" sqref="U43"/>
    </sheetView>
  </sheetViews>
  <sheetFormatPr defaultColWidth="4.6640625" defaultRowHeight="13.2"/>
  <cols>
    <col min="1" max="2" width="4.6640625" style="137"/>
    <col min="3" max="3" width="8.5546875" style="137" bestFit="1" customWidth="1"/>
    <col min="4" max="22" width="4.6640625" style="137"/>
    <col min="23" max="23" width="5.5546875" style="137" bestFit="1" customWidth="1"/>
    <col min="24" max="24" width="4.6640625" style="137"/>
    <col min="25" max="25" width="8.88671875" style="137" bestFit="1" customWidth="1"/>
    <col min="26" max="31" width="4.6640625" style="137"/>
    <col min="32" max="32" width="5" style="137" bestFit="1" customWidth="1"/>
    <col min="33" max="16384" width="4.6640625" style="137"/>
  </cols>
  <sheetData>
    <row r="3" spans="4:41">
      <c r="F3" s="137">
        <f>details!O39-details!N46</f>
        <v>10.9</v>
      </c>
      <c r="H3" s="137">
        <f>details!M37-(details!N46*2)</f>
        <v>35.799999999999997</v>
      </c>
      <c r="J3" s="138">
        <f>details!P31-details!N46</f>
        <v>38.9</v>
      </c>
      <c r="M3" s="139">
        <f>L79-(F3+H3+J3+S3+Q3+O3)</f>
        <v>123.79999999999998</v>
      </c>
      <c r="O3" s="137">
        <f>details!W31-details!N46</f>
        <v>-1.1000000000000001</v>
      </c>
      <c r="Q3" s="137">
        <f>details!Z35-(details!N46*2)</f>
        <v>60.8</v>
      </c>
      <c r="S3" s="140">
        <f>details!X39-details!N46</f>
        <v>10.9</v>
      </c>
      <c r="AB3" s="137">
        <f>F3</f>
        <v>10.9</v>
      </c>
      <c r="AD3" s="137">
        <f>H3</f>
        <v>35.799999999999997</v>
      </c>
      <c r="AF3" s="138">
        <f>J3</f>
        <v>38.9</v>
      </c>
      <c r="AL3" s="137">
        <f>O3</f>
        <v>-1.1000000000000001</v>
      </c>
      <c r="AN3" s="137">
        <f>Q3</f>
        <v>60.8</v>
      </c>
      <c r="AO3" s="137">
        <f>S3</f>
        <v>10.9</v>
      </c>
    </row>
    <row r="6" spans="4:41">
      <c r="U6" s="137">
        <f>details!M37-details!N46</f>
        <v>36.9</v>
      </c>
      <c r="Z6" s="137">
        <f>U6</f>
        <v>36.9</v>
      </c>
    </row>
    <row r="8" spans="4:41">
      <c r="M8" s="137">
        <f>details!M34</f>
        <v>25</v>
      </c>
      <c r="AJ8" s="137">
        <f>M8</f>
        <v>25</v>
      </c>
    </row>
    <row r="11" spans="4:41">
      <c r="D11" s="137">
        <f>details!D21</f>
        <v>267</v>
      </c>
    </row>
    <row r="16" spans="4:41" ht="13.8">
      <c r="I16" s="141" t="str">
        <f>IF(AND(details!Q10="w"),5,IF(AND(details!Q10="s",details!E18="100X75"),33,IF(AND(details!Q10="s",details!E18="100X100"),44,"nil")))</f>
        <v>nil</v>
      </c>
    </row>
    <row r="21" spans="7:10">
      <c r="J21" s="140">
        <v>101</v>
      </c>
    </row>
    <row r="27" spans="7:10">
      <c r="G27" s="142">
        <f>details!D20</f>
        <v>44.5</v>
      </c>
    </row>
    <row r="35" spans="1:33">
      <c r="AC35" s="137" t="b">
        <f>IF(details!P31=41,7,IF(details!P31=47,10,IF(details!P31=51,12)))</f>
        <v>0</v>
      </c>
      <c r="AE35" s="143">
        <v>29</v>
      </c>
    </row>
    <row r="39" spans="1:33">
      <c r="AC39" s="137">
        <v>38</v>
      </c>
    </row>
    <row r="40" spans="1:33">
      <c r="AG40" s="140">
        <v>71</v>
      </c>
    </row>
    <row r="45" spans="1:33">
      <c r="AC45" s="139">
        <f>details!D15</f>
        <v>67.5</v>
      </c>
    </row>
    <row r="47" spans="1:33" ht="13.8">
      <c r="A47" s="427">
        <f>details!I46</f>
        <v>2037</v>
      </c>
      <c r="B47" s="427"/>
      <c r="W47" s="137">
        <f>A47</f>
        <v>2037</v>
      </c>
    </row>
    <row r="56" spans="3:25" ht="13.8">
      <c r="C56" s="144">
        <f>details!D23</f>
        <v>1010</v>
      </c>
      <c r="Y56" s="143">
        <f>details!D14</f>
        <v>1032</v>
      </c>
    </row>
    <row r="71" spans="4:35">
      <c r="D71" s="140">
        <f>details!D22</f>
        <v>250</v>
      </c>
    </row>
    <row r="79" spans="4:35">
      <c r="L79" s="139">
        <f>details!L46:M46</f>
        <v>280</v>
      </c>
      <c r="AI79" s="139">
        <f>L79</f>
        <v>280</v>
      </c>
    </row>
  </sheetData>
  <sheetProtection password="E134" sheet="1" objects="1" scenarios="1"/>
  <mergeCells count="1">
    <mergeCell ref="A47:B47"/>
  </mergeCells>
  <phoneticPr fontId="28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40"/>
  <sheetViews>
    <sheetView workbookViewId="0">
      <selection activeCell="G42" sqref="G42"/>
    </sheetView>
  </sheetViews>
  <sheetFormatPr defaultColWidth="9.109375" defaultRowHeight="13.8"/>
  <cols>
    <col min="1" max="1" width="18.109375" style="98" customWidth="1"/>
    <col min="2" max="2" width="21.5546875" style="98" customWidth="1"/>
    <col min="3" max="3" width="19.88671875" style="98" customWidth="1"/>
    <col min="4" max="4" width="5.109375" style="98" customWidth="1"/>
    <col min="5" max="5" width="5.6640625" style="98" customWidth="1"/>
    <col min="6" max="6" width="12.5546875" style="98" customWidth="1"/>
    <col min="7" max="7" width="28" style="98" customWidth="1"/>
    <col min="8" max="8" width="26.33203125" style="98" bestFit="1" customWidth="1"/>
    <col min="9" max="9" width="19.109375" style="98" bestFit="1" customWidth="1"/>
    <col min="10" max="10" width="26.6640625" style="98" bestFit="1" customWidth="1"/>
    <col min="11" max="11" width="15.88671875" style="98" customWidth="1"/>
    <col min="12" max="16384" width="9.109375" style="98"/>
  </cols>
  <sheetData>
    <row r="1" spans="1:12">
      <c r="B1" s="428" t="s">
        <v>132</v>
      </c>
      <c r="C1" s="429"/>
      <c r="D1" s="429"/>
      <c r="E1" s="429"/>
      <c r="F1" s="429"/>
      <c r="G1" s="429"/>
      <c r="H1" s="99" t="s">
        <v>133</v>
      </c>
    </row>
    <row r="2" spans="1:12">
      <c r="B2" s="429"/>
      <c r="C2" s="429"/>
      <c r="D2" s="429"/>
      <c r="E2" s="429"/>
      <c r="F2" s="429"/>
      <c r="G2" s="429"/>
      <c r="H2" s="99" t="s">
        <v>134</v>
      </c>
    </row>
    <row r="4" spans="1:12">
      <c r="A4" s="430" t="s">
        <v>135</v>
      </c>
      <c r="B4" s="430"/>
      <c r="E4" s="101"/>
      <c r="F4" s="102"/>
      <c r="I4" s="103"/>
      <c r="K4" s="103"/>
    </row>
    <row r="5" spans="1:12">
      <c r="A5" s="100" t="s">
        <v>136</v>
      </c>
      <c r="B5" s="100" t="s">
        <v>137</v>
      </c>
      <c r="E5" s="101"/>
      <c r="F5" s="104" t="s">
        <v>138</v>
      </c>
      <c r="G5" s="104" t="s">
        <v>139</v>
      </c>
      <c r="H5" s="104" t="s">
        <v>140</v>
      </c>
      <c r="I5" s="105" t="s">
        <v>141</v>
      </c>
      <c r="J5" s="105" t="s">
        <v>175</v>
      </c>
      <c r="K5" s="103"/>
    </row>
    <row r="6" spans="1:12">
      <c r="A6" s="122">
        <f>data!A47</f>
        <v>2037</v>
      </c>
      <c r="B6" s="123">
        <f>data!L79</f>
        <v>280</v>
      </c>
      <c r="C6" s="103"/>
      <c r="E6" s="106"/>
      <c r="F6" s="107">
        <v>3006</v>
      </c>
      <c r="G6" s="107" t="s">
        <v>142</v>
      </c>
      <c r="H6" s="107">
        <v>1</v>
      </c>
      <c r="I6" s="108" t="s">
        <v>258</v>
      </c>
      <c r="J6" s="98" t="s">
        <v>129</v>
      </c>
      <c r="K6" s="103"/>
    </row>
    <row r="7" spans="1:12">
      <c r="A7" s="431"/>
      <c r="B7" s="432"/>
      <c r="C7" s="103"/>
      <c r="F7" s="109" t="s">
        <v>143</v>
      </c>
      <c r="G7" s="110"/>
      <c r="H7" s="433" t="s">
        <v>144</v>
      </c>
      <c r="I7" s="434"/>
      <c r="J7" s="433" t="s">
        <v>145</v>
      </c>
      <c r="K7" s="434"/>
      <c r="L7" s="103"/>
    </row>
    <row r="8" spans="1:12" ht="14.4" thickBot="1">
      <c r="A8" s="111"/>
      <c r="B8" s="111"/>
      <c r="C8" s="112"/>
      <c r="F8" s="442" t="s">
        <v>146</v>
      </c>
      <c r="G8" s="443"/>
      <c r="H8" s="444" t="s">
        <v>147</v>
      </c>
      <c r="I8" s="445"/>
      <c r="J8" s="108" t="s">
        <v>191</v>
      </c>
      <c r="K8" s="113"/>
      <c r="L8" s="103"/>
    </row>
    <row r="9" spans="1:12" ht="14.4" thickBot="1">
      <c r="A9" s="103"/>
      <c r="B9" s="103"/>
      <c r="C9" s="103"/>
      <c r="F9" s="435" t="s">
        <v>148</v>
      </c>
      <c r="G9" s="436"/>
      <c r="H9" s="437" t="s">
        <v>149</v>
      </c>
      <c r="I9" s="438"/>
      <c r="J9" s="435" t="s">
        <v>150</v>
      </c>
      <c r="K9" s="436"/>
      <c r="L9" s="103"/>
    </row>
    <row r="10" spans="1:12">
      <c r="A10" s="114" t="s">
        <v>151</v>
      </c>
      <c r="B10" s="114" t="s">
        <v>152</v>
      </c>
      <c r="C10" s="103"/>
      <c r="F10" s="439" t="s">
        <v>257</v>
      </c>
      <c r="G10" s="440"/>
      <c r="H10" s="441" t="s">
        <v>153</v>
      </c>
      <c r="I10" s="441"/>
      <c r="J10" s="115" t="s">
        <v>259</v>
      </c>
      <c r="K10" s="113"/>
      <c r="L10" s="103"/>
    </row>
    <row r="11" spans="1:12">
      <c r="A11" s="107" t="s">
        <v>154</v>
      </c>
      <c r="B11" s="107">
        <f>data!J21</f>
        <v>101</v>
      </c>
      <c r="C11" s="98" t="s">
        <v>178</v>
      </c>
      <c r="I11" s="103"/>
      <c r="J11" s="103"/>
      <c r="K11" s="103"/>
      <c r="L11" s="103"/>
    </row>
    <row r="12" spans="1:12">
      <c r="A12" s="107" t="s">
        <v>155</v>
      </c>
      <c r="B12" s="107" t="str">
        <f>data!I16</f>
        <v>nil</v>
      </c>
      <c r="C12" s="98" t="s">
        <v>179</v>
      </c>
      <c r="J12" s="103"/>
      <c r="K12" s="103"/>
      <c r="L12" s="103"/>
    </row>
    <row r="13" spans="1:12">
      <c r="A13" s="107" t="s">
        <v>156</v>
      </c>
      <c r="B13" s="107">
        <f>data!D11</f>
        <v>267</v>
      </c>
      <c r="C13" s="98" t="s">
        <v>125</v>
      </c>
      <c r="J13" s="103"/>
      <c r="K13" s="103"/>
      <c r="L13" s="103"/>
    </row>
    <row r="14" spans="1:12">
      <c r="A14" s="107" t="s">
        <v>157</v>
      </c>
      <c r="B14" s="107">
        <f>details!I23</f>
        <v>976.5</v>
      </c>
      <c r="C14" s="98" t="s">
        <v>180</v>
      </c>
      <c r="D14" s="103"/>
      <c r="E14" s="103"/>
      <c r="F14" s="103"/>
      <c r="H14" s="116" t="s">
        <v>158</v>
      </c>
      <c r="I14" s="103"/>
      <c r="J14" s="103"/>
      <c r="K14" s="103"/>
      <c r="L14" s="103"/>
    </row>
    <row r="15" spans="1:12">
      <c r="A15" s="107" t="s">
        <v>159</v>
      </c>
      <c r="B15" s="107">
        <f>details!I22</f>
        <v>1736.5</v>
      </c>
      <c r="C15" s="98" t="s">
        <v>126</v>
      </c>
      <c r="D15" s="103"/>
      <c r="E15" s="103"/>
      <c r="F15" s="103"/>
      <c r="H15" s="103"/>
      <c r="I15" s="103"/>
      <c r="J15" s="103"/>
      <c r="K15" s="103"/>
      <c r="L15" s="103"/>
    </row>
    <row r="16" spans="1:12">
      <c r="A16" s="107" t="s">
        <v>160</v>
      </c>
      <c r="B16" s="107">
        <v>45</v>
      </c>
      <c r="C16" s="98" t="s">
        <v>181</v>
      </c>
      <c r="D16" s="103"/>
      <c r="E16" s="103"/>
      <c r="F16" s="103"/>
      <c r="G16" s="103"/>
      <c r="H16" s="103"/>
      <c r="I16" s="103"/>
      <c r="J16" s="103"/>
      <c r="K16" s="103"/>
      <c r="L16" s="103"/>
    </row>
    <row r="17" spans="1:12">
      <c r="A17" s="107" t="s">
        <v>161</v>
      </c>
      <c r="B17" s="107">
        <v>45</v>
      </c>
      <c r="C17" s="98" t="s">
        <v>181</v>
      </c>
      <c r="D17" s="103"/>
      <c r="E17" s="103"/>
      <c r="F17" s="103"/>
      <c r="G17" s="117" t="s">
        <v>162</v>
      </c>
      <c r="H17" s="103"/>
      <c r="I17" s="103"/>
      <c r="J17" s="103"/>
      <c r="K17" s="103"/>
      <c r="L17" s="103"/>
    </row>
    <row r="18" spans="1:12">
      <c r="A18" s="107" t="s">
        <v>163</v>
      </c>
      <c r="B18" s="107">
        <v>50.8</v>
      </c>
      <c r="C18" s="98" t="s">
        <v>190</v>
      </c>
      <c r="D18" s="103"/>
      <c r="E18" s="103"/>
      <c r="F18" s="103"/>
      <c r="G18" s="103"/>
      <c r="H18" s="103"/>
      <c r="I18" s="103"/>
      <c r="J18" s="103"/>
      <c r="K18" s="103"/>
      <c r="L18" s="103"/>
    </row>
    <row r="19" spans="1:12">
      <c r="A19" s="124" t="s">
        <v>164</v>
      </c>
      <c r="B19" s="107">
        <v>49.281079999999996</v>
      </c>
      <c r="C19" s="98" t="s">
        <v>182</v>
      </c>
      <c r="D19" s="103"/>
      <c r="E19" s="103"/>
      <c r="F19" s="103"/>
      <c r="G19" s="103"/>
      <c r="H19" s="103"/>
      <c r="I19" s="103"/>
      <c r="J19" s="103"/>
      <c r="K19" s="103"/>
      <c r="L19" s="103"/>
    </row>
    <row r="20" spans="1:12">
      <c r="A20" s="128" t="s">
        <v>165</v>
      </c>
      <c r="B20" s="129">
        <f>data!M3</f>
        <v>123.79999999999998</v>
      </c>
      <c r="C20" s="98" t="s">
        <v>183</v>
      </c>
      <c r="D20" s="103"/>
      <c r="E20" s="103"/>
      <c r="F20" s="103"/>
      <c r="G20" s="103"/>
      <c r="H20" s="103"/>
      <c r="I20" s="103"/>
      <c r="J20" s="103"/>
      <c r="K20" s="103"/>
      <c r="L20" s="103"/>
    </row>
    <row r="21" spans="1:12">
      <c r="A21" s="128" t="s">
        <v>166</v>
      </c>
      <c r="B21" s="128">
        <f>data!M8</f>
        <v>25</v>
      </c>
      <c r="C21" s="98" t="s">
        <v>184</v>
      </c>
      <c r="D21" s="103"/>
      <c r="E21" s="103"/>
      <c r="F21" s="103"/>
      <c r="G21" s="103"/>
      <c r="H21" s="103"/>
      <c r="I21" s="103"/>
      <c r="J21" s="103"/>
      <c r="K21" s="103"/>
      <c r="L21" s="103"/>
    </row>
    <row r="22" spans="1:12">
      <c r="A22" s="128" t="s">
        <v>167</v>
      </c>
      <c r="B22" s="128">
        <f>data!F3</f>
        <v>10.9</v>
      </c>
      <c r="C22" s="98" t="s">
        <v>185</v>
      </c>
      <c r="D22" s="103"/>
      <c r="E22" s="103"/>
      <c r="F22" s="103"/>
      <c r="G22" s="103"/>
      <c r="H22" s="103"/>
      <c r="I22" s="103"/>
      <c r="J22" s="103"/>
      <c r="K22" s="103"/>
      <c r="L22" s="103"/>
    </row>
    <row r="23" spans="1:12">
      <c r="A23" s="128" t="s">
        <v>168</v>
      </c>
      <c r="B23" s="128">
        <f>data!S3</f>
        <v>10.9</v>
      </c>
      <c r="C23" s="98" t="s">
        <v>186</v>
      </c>
      <c r="D23" s="103"/>
      <c r="E23" s="103"/>
      <c r="F23" s="103"/>
      <c r="G23" s="103"/>
      <c r="H23" s="103"/>
      <c r="I23" s="103"/>
      <c r="J23" s="103"/>
      <c r="K23" s="103"/>
      <c r="L23" s="103"/>
    </row>
    <row r="24" spans="1:12">
      <c r="A24" s="128" t="s">
        <v>169</v>
      </c>
      <c r="B24" s="128">
        <f>data!J3</f>
        <v>38.9</v>
      </c>
      <c r="C24" s="98" t="s">
        <v>187</v>
      </c>
      <c r="D24" s="103"/>
      <c r="E24" s="103"/>
      <c r="F24" s="103"/>
      <c r="G24" s="103"/>
      <c r="H24" s="103"/>
      <c r="I24" s="103"/>
      <c r="J24" s="103"/>
      <c r="K24" s="103"/>
      <c r="L24" s="103"/>
    </row>
    <row r="25" spans="1:12">
      <c r="A25" s="128" t="s">
        <v>170</v>
      </c>
      <c r="B25" s="128">
        <f>data!O3</f>
        <v>-1.1000000000000001</v>
      </c>
      <c r="C25" s="98" t="s">
        <v>188</v>
      </c>
      <c r="D25" s="103"/>
      <c r="E25" s="103"/>
      <c r="F25" s="103"/>
      <c r="G25" s="103"/>
      <c r="H25" s="103"/>
      <c r="I25" s="103"/>
      <c r="J25" s="103"/>
      <c r="K25" s="103"/>
      <c r="L25" s="103"/>
    </row>
    <row r="26" spans="1:12">
      <c r="A26" s="107"/>
      <c r="B26" s="124"/>
      <c r="D26" s="103"/>
      <c r="E26" s="103"/>
      <c r="F26" s="103"/>
      <c r="G26" s="103"/>
      <c r="H26" s="103"/>
      <c r="I26" s="103"/>
      <c r="J26" s="103"/>
      <c r="K26" s="103"/>
      <c r="L26" s="103"/>
    </row>
    <row r="27" spans="1:12">
      <c r="A27" s="107"/>
      <c r="B27" s="124"/>
      <c r="D27" s="103"/>
      <c r="E27" s="103"/>
      <c r="F27" s="103"/>
      <c r="G27" s="103"/>
      <c r="H27" s="103"/>
      <c r="I27" s="103"/>
      <c r="J27" s="103"/>
      <c r="K27" s="103"/>
      <c r="L27" s="103"/>
    </row>
    <row r="28" spans="1:12">
      <c r="A28" s="107" t="s">
        <v>171</v>
      </c>
      <c r="B28" s="125">
        <f>data!G27</f>
        <v>44.5</v>
      </c>
      <c r="C28" s="98" t="s">
        <v>189</v>
      </c>
      <c r="D28" s="103"/>
      <c r="E28" s="103"/>
      <c r="F28" s="103"/>
      <c r="G28" s="103"/>
      <c r="H28" s="103"/>
      <c r="I28" s="103"/>
      <c r="J28" s="103"/>
      <c r="K28" s="103"/>
      <c r="L28" s="103"/>
    </row>
    <row r="29" spans="1:12">
      <c r="C29" s="103"/>
      <c r="D29" s="103"/>
      <c r="E29" s="103"/>
      <c r="F29" s="103"/>
      <c r="G29" s="103"/>
      <c r="H29" s="103"/>
      <c r="I29" s="103"/>
      <c r="J29" s="103"/>
      <c r="K29" s="103"/>
      <c r="L29" s="103"/>
    </row>
    <row r="30" spans="1:12">
      <c r="C30" s="103"/>
      <c r="D30" s="103"/>
      <c r="E30" s="103"/>
      <c r="F30" s="103"/>
      <c r="G30" s="103"/>
      <c r="H30" s="103"/>
      <c r="I30" s="103"/>
      <c r="J30" s="103"/>
      <c r="K30" s="103"/>
      <c r="L30" s="103"/>
    </row>
    <row r="31" spans="1:12">
      <c r="C31" s="103"/>
      <c r="D31" s="103"/>
      <c r="E31" s="103"/>
      <c r="F31" s="103"/>
      <c r="G31" s="103"/>
      <c r="H31" s="103"/>
      <c r="I31" s="103"/>
      <c r="J31" s="103"/>
      <c r="K31" s="103"/>
      <c r="L31" s="103"/>
    </row>
    <row r="32" spans="1:1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</row>
    <row r="33" spans="1:12">
      <c r="A33" s="103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</row>
    <row r="34" spans="1:12">
      <c r="A34" s="103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</row>
    <row r="35" spans="1:12">
      <c r="A35" s="103"/>
      <c r="B35" s="103"/>
      <c r="C35" s="103"/>
      <c r="D35" s="103"/>
      <c r="E35" s="103"/>
      <c r="F35" s="103"/>
      <c r="H35" s="103"/>
      <c r="I35" s="103"/>
      <c r="J35" s="103"/>
      <c r="K35" s="103"/>
      <c r="L35" s="103"/>
    </row>
    <row r="36" spans="1:12">
      <c r="A36" s="103"/>
      <c r="B36" s="103"/>
      <c r="C36" s="103"/>
      <c r="D36" s="103"/>
      <c r="E36" s="103"/>
      <c r="F36" s="103"/>
      <c r="H36" s="103"/>
      <c r="I36" s="103"/>
      <c r="J36" s="103"/>
      <c r="K36" s="103"/>
      <c r="L36" s="103"/>
    </row>
    <row r="38" spans="1:12">
      <c r="A38" s="118" t="s">
        <v>172</v>
      </c>
    </row>
    <row r="39" spans="1:12">
      <c r="A39" s="119" t="s">
        <v>173</v>
      </c>
    </row>
    <row r="40" spans="1:12">
      <c r="A40" s="119" t="s">
        <v>174</v>
      </c>
    </row>
  </sheetData>
  <mergeCells count="12">
    <mergeCell ref="J9:K9"/>
    <mergeCell ref="F10:G10"/>
    <mergeCell ref="H10:I10"/>
    <mergeCell ref="J7:K7"/>
    <mergeCell ref="F8:G8"/>
    <mergeCell ref="H8:I8"/>
    <mergeCell ref="B1:G2"/>
    <mergeCell ref="A4:B4"/>
    <mergeCell ref="A7:B7"/>
    <mergeCell ref="H7:I7"/>
    <mergeCell ref="F9:G9"/>
    <mergeCell ref="H9:I9"/>
  </mergeCells>
  <phoneticPr fontId="28" type="noConversion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571500</xdr:colOff>
                    <xdr:row>14</xdr:row>
                    <xdr:rowOff>137160</xdr:rowOff>
                  </from>
                  <to>
                    <xdr:col>8</xdr:col>
                    <xdr:colOff>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7:CX114"/>
  <sheetViews>
    <sheetView topLeftCell="Z1" zoomScale="80" zoomScaleNormal="80" workbookViewId="0">
      <selection activeCell="AR24" sqref="AR24"/>
    </sheetView>
  </sheetViews>
  <sheetFormatPr defaultColWidth="4.6640625" defaultRowHeight="13.2"/>
  <cols>
    <col min="1" max="2" width="4.6640625" style="145"/>
    <col min="3" max="3" width="8.5546875" style="145" bestFit="1" customWidth="1"/>
    <col min="4" max="4" width="6.6640625" style="145" customWidth="1"/>
    <col min="5" max="5" width="9.44140625" style="145" bestFit="1" customWidth="1"/>
    <col min="6" max="6" width="6" style="145" bestFit="1" customWidth="1"/>
    <col min="7" max="8" width="5" style="145" bestFit="1" customWidth="1"/>
    <col min="9" max="9" width="6" style="145" bestFit="1" customWidth="1"/>
    <col min="10" max="10" width="5" style="145" bestFit="1" customWidth="1"/>
    <col min="11" max="11" width="5.5546875" style="145" bestFit="1" customWidth="1"/>
    <col min="12" max="12" width="6" style="145" bestFit="1" customWidth="1"/>
    <col min="13" max="13" width="4.6640625" style="145"/>
    <col min="14" max="14" width="6" style="145" bestFit="1" customWidth="1"/>
    <col min="15" max="15" width="4.6640625" style="145"/>
    <col min="16" max="16" width="5.5546875" style="145" bestFit="1" customWidth="1"/>
    <col min="17" max="17" width="5" style="145" bestFit="1" customWidth="1"/>
    <col min="18" max="19" width="4.6640625" style="145"/>
    <col min="20" max="20" width="6" style="145" bestFit="1" customWidth="1"/>
    <col min="21" max="21" width="4.6640625" style="145"/>
    <col min="22" max="22" width="8.33203125" style="145" bestFit="1" customWidth="1"/>
    <col min="23" max="23" width="6" style="145" bestFit="1" customWidth="1"/>
    <col min="24" max="24" width="4.6640625" style="145"/>
    <col min="25" max="25" width="5" style="145" bestFit="1" customWidth="1"/>
    <col min="26" max="26" width="5.44140625" style="145" bestFit="1" customWidth="1"/>
    <col min="27" max="27" width="8.88671875" style="145" bestFit="1" customWidth="1"/>
    <col min="28" max="28" width="4.6640625" style="145"/>
    <col min="29" max="29" width="6" style="145" bestFit="1" customWidth="1"/>
    <col min="30" max="30" width="5" style="145" bestFit="1" customWidth="1"/>
    <col min="31" max="31" width="4.6640625" style="145"/>
    <col min="32" max="32" width="5" style="145" bestFit="1" customWidth="1"/>
    <col min="33" max="33" width="5.5546875" style="145" bestFit="1" customWidth="1"/>
    <col min="34" max="34" width="4.6640625" style="145"/>
    <col min="35" max="35" width="6" style="145" bestFit="1" customWidth="1"/>
    <col min="36" max="36" width="5.5546875" style="145" bestFit="1" customWidth="1"/>
    <col min="37" max="43" width="4.6640625" style="145"/>
    <col min="44" max="44" width="5" style="145" bestFit="1" customWidth="1"/>
    <col min="45" max="48" width="4.6640625" style="145"/>
    <col min="49" max="49" width="8.109375" style="145" bestFit="1" customWidth="1"/>
    <col min="50" max="50" width="7.109375" style="145" bestFit="1" customWidth="1"/>
    <col min="51" max="51" width="5.5546875" style="145" bestFit="1" customWidth="1"/>
    <col min="52" max="57" width="4.6640625" style="145"/>
    <col min="58" max="58" width="5.5546875" style="145" bestFit="1" customWidth="1"/>
    <col min="59" max="59" width="4.6640625" style="145"/>
    <col min="60" max="60" width="5" style="145" bestFit="1" customWidth="1"/>
    <col min="61" max="70" width="4.6640625" style="145"/>
    <col min="71" max="71" width="5" style="145" bestFit="1" customWidth="1"/>
    <col min="72" max="72" width="4.6640625" style="145"/>
    <col min="73" max="73" width="5.5546875" style="145" bestFit="1" customWidth="1"/>
    <col min="74" max="74" width="4.6640625" style="145"/>
    <col min="75" max="75" width="8.88671875" style="145" bestFit="1" customWidth="1"/>
    <col min="76" max="78" width="4.6640625" style="145"/>
    <col min="79" max="79" width="5" style="145" bestFit="1" customWidth="1"/>
    <col min="80" max="80" width="4.6640625" style="145"/>
    <col min="81" max="81" width="6" style="145" bestFit="1" customWidth="1"/>
    <col min="82" max="82" width="5" style="145" bestFit="1" customWidth="1"/>
    <col min="83" max="83" width="4.6640625" style="145"/>
    <col min="84" max="84" width="5" style="145" bestFit="1" customWidth="1"/>
    <col min="85" max="89" width="4.6640625" style="145"/>
    <col min="90" max="90" width="5" style="145" bestFit="1" customWidth="1"/>
    <col min="91" max="16384" width="4.6640625" style="145"/>
  </cols>
  <sheetData>
    <row r="7" spans="5:66">
      <c r="H7" s="146">
        <f>profile!N7-1.1+profile!N5</f>
        <v>61.9</v>
      </c>
      <c r="I7" s="147"/>
    </row>
    <row r="8" spans="5:66">
      <c r="AW8" s="145" t="s">
        <v>287</v>
      </c>
      <c r="BN8" s="145">
        <f>I7</f>
        <v>0</v>
      </c>
    </row>
    <row r="10" spans="5:66">
      <c r="AW10" s="333" t="s">
        <v>192</v>
      </c>
      <c r="AX10" s="333" t="s">
        <v>193</v>
      </c>
    </row>
    <row r="11" spans="5:66">
      <c r="E11" s="148">
        <f>IF(profile!C15=1.1,profile!Y9-2.1,IF(profile!C15=1.5,profile!Y9-2.1))</f>
        <v>9.9</v>
      </c>
      <c r="AW11" s="334">
        <f>AA46-(4+2.5)</f>
        <v>2030.5</v>
      </c>
      <c r="AX11" s="334">
        <f>AR24-(AR14+10)</f>
        <v>175.2</v>
      </c>
    </row>
    <row r="12" spans="5:66">
      <c r="AW12" s="334">
        <f>AW11+2.5</f>
        <v>2033</v>
      </c>
      <c r="AX12" s="334">
        <f>AX11</f>
        <v>175.2</v>
      </c>
    </row>
    <row r="13" spans="5:66">
      <c r="AW13" s="334">
        <f>AW12</f>
        <v>2033</v>
      </c>
      <c r="AX13" s="334">
        <f>AX12+20</f>
        <v>195.2</v>
      </c>
      <c r="BI13" s="145">
        <f>E11</f>
        <v>9.9</v>
      </c>
    </row>
    <row r="14" spans="5:66">
      <c r="E14" s="148">
        <f>H7</f>
        <v>61.9</v>
      </c>
      <c r="AR14" s="146">
        <f>E11+E14+K17+(K18/2)</f>
        <v>94.8</v>
      </c>
      <c r="AW14" s="334">
        <f>AW11</f>
        <v>2030.5</v>
      </c>
      <c r="AX14" s="334">
        <f>AX13</f>
        <v>195.2</v>
      </c>
    </row>
    <row r="15" spans="5:66">
      <c r="AW15" s="334">
        <f>AW14</f>
        <v>2030.5</v>
      </c>
      <c r="AX15" s="334">
        <f>AX11</f>
        <v>175.2</v>
      </c>
    </row>
    <row r="16" spans="5:66" ht="13.8">
      <c r="T16" s="146"/>
      <c r="Y16" s="323" t="s">
        <v>278</v>
      </c>
      <c r="BI16" s="145">
        <f>E14</f>
        <v>61.9</v>
      </c>
    </row>
    <row r="17" spans="5:102">
      <c r="K17" s="146">
        <v>15.5</v>
      </c>
    </row>
    <row r="18" spans="5:102">
      <c r="E18" s="148"/>
      <c r="G18" s="145">
        <v>10</v>
      </c>
      <c r="K18" s="145">
        <v>15</v>
      </c>
      <c r="W18" s="156">
        <f>(E23-I39)/2</f>
        <v>49.075000000000003</v>
      </c>
    </row>
    <row r="19" spans="5:102">
      <c r="T19" s="146"/>
    </row>
    <row r="20" spans="5:102">
      <c r="O20" s="145">
        <f>(R22-O22)/2</f>
        <v>2.5</v>
      </c>
      <c r="BI20" s="145">
        <f>E18</f>
        <v>0</v>
      </c>
    </row>
    <row r="21" spans="5:102">
      <c r="M21" s="146"/>
      <c r="Y21" s="156">
        <f>7/2</f>
        <v>3.5</v>
      </c>
    </row>
    <row r="22" spans="5:102">
      <c r="J22" s="146">
        <f>E23-(K17+K18)</f>
        <v>92.65</v>
      </c>
      <c r="O22" s="145">
        <v>10</v>
      </c>
      <c r="R22" s="145">
        <v>15</v>
      </c>
      <c r="Y22" s="156">
        <f>3.5/2</f>
        <v>1.75</v>
      </c>
    </row>
    <row r="23" spans="5:102">
      <c r="E23" s="148">
        <f>AR24-(E36+E33+E29+E11+E14)</f>
        <v>123.15</v>
      </c>
    </row>
    <row r="24" spans="5:102">
      <c r="AR24" s="149">
        <f>details!L46</f>
        <v>280</v>
      </c>
    </row>
    <row r="26" spans="5:102">
      <c r="J26" s="150"/>
      <c r="CX26" s="149">
        <f>AR24</f>
        <v>280</v>
      </c>
    </row>
    <row r="28" spans="5:102">
      <c r="G28" s="145">
        <v>15</v>
      </c>
      <c r="I28" s="146">
        <f>E29-(I31+I30)</f>
        <v>7.6499999999999986</v>
      </c>
      <c r="AW28" s="333" t="s">
        <v>192</v>
      </c>
      <c r="AX28" s="333" t="s">
        <v>193</v>
      </c>
    </row>
    <row r="29" spans="5:102">
      <c r="E29" s="148">
        <f>IF(profile!C15=1.1,profile!Q3-1.85,IF(profile!C15=1.5,profile!Q3-2.9))</f>
        <v>38.15</v>
      </c>
      <c r="N29" s="148">
        <v>100.5</v>
      </c>
      <c r="AQ29" s="145">
        <v>4</v>
      </c>
      <c r="AW29" s="334">
        <f>AW11</f>
        <v>2030.5</v>
      </c>
      <c r="AX29" s="334">
        <f>AR34-10</f>
        <v>59.900000000000006</v>
      </c>
    </row>
    <row r="30" spans="5:102">
      <c r="I30" s="147">
        <v>15</v>
      </c>
      <c r="Q30" s="146">
        <v>99.5</v>
      </c>
      <c r="AW30" s="334">
        <f>AW29+2.5</f>
        <v>2033</v>
      </c>
      <c r="AX30" s="334">
        <f>AX29</f>
        <v>59.900000000000006</v>
      </c>
      <c r="CC30" s="148">
        <v>70.5</v>
      </c>
    </row>
    <row r="31" spans="5:102">
      <c r="F31" s="145">
        <v>10</v>
      </c>
      <c r="I31" s="146">
        <f>IF(profile!Q3&gt;48,16.5,15.5)</f>
        <v>15.5</v>
      </c>
      <c r="AW31" s="334">
        <f>AW30</f>
        <v>2033</v>
      </c>
      <c r="AX31" s="334">
        <f>AX30+20</f>
        <v>79.900000000000006</v>
      </c>
      <c r="BI31" s="146">
        <f>E29</f>
        <v>38.15</v>
      </c>
    </row>
    <row r="32" spans="5:102" ht="13.8">
      <c r="K32" s="151">
        <f>IF(AND(details!Q10="w"),5,IF(AND(details!Q10="SFH",details!E18="100X75"),32.5,IF(AND(details!Q10="SFH",details!E18="100X100"),44,"nil")))</f>
        <v>32.5</v>
      </c>
      <c r="AW32" s="334">
        <f>AW29</f>
        <v>2030.5</v>
      </c>
      <c r="AX32" s="334">
        <f>AX31</f>
        <v>79.900000000000006</v>
      </c>
    </row>
    <row r="33" spans="5:90">
      <c r="E33" s="148">
        <f>profile!N7-1</f>
        <v>37</v>
      </c>
      <c r="AW33" s="334">
        <f>AW32</f>
        <v>2030.5</v>
      </c>
      <c r="AX33" s="334">
        <f>AX29</f>
        <v>59.900000000000006</v>
      </c>
    </row>
    <row r="34" spans="5:90">
      <c r="AR34" s="146">
        <f>E36+E33+I31+(I30/2)</f>
        <v>69.900000000000006</v>
      </c>
      <c r="BZ34" s="145">
        <v>29</v>
      </c>
    </row>
    <row r="35" spans="5:90">
      <c r="Q35" s="152">
        <f>details!D20</f>
        <v>44.5</v>
      </c>
      <c r="BI35" s="145">
        <f>E33</f>
        <v>37</v>
      </c>
      <c r="CC35" s="153">
        <v>29</v>
      </c>
    </row>
    <row r="36" spans="5:90">
      <c r="E36" s="148">
        <f>IF(profile!C15=1.1,profile!P9-2.1,IF(profile!C15=1.5,profile!P9-2.1))</f>
        <v>9.9</v>
      </c>
      <c r="F36" s="154" t="s">
        <v>193</v>
      </c>
      <c r="BY36" s="145">
        <f>IF(profile!Q3&gt;48,11,9)</f>
        <v>9</v>
      </c>
    </row>
    <row r="37" spans="5:90">
      <c r="H37" s="155" t="s">
        <v>192</v>
      </c>
      <c r="CF37" s="146">
        <f>BI38+BI35-3.9</f>
        <v>43</v>
      </c>
    </row>
    <row r="38" spans="5:90">
      <c r="BI38" s="145">
        <f>E36</f>
        <v>9.9</v>
      </c>
      <c r="CC38" s="146">
        <v>38.5</v>
      </c>
    </row>
    <row r="39" spans="5:90">
      <c r="G39" s="146">
        <f>profile!N7-1</f>
        <v>37</v>
      </c>
      <c r="I39" s="153">
        <f>profile!N5</f>
        <v>25</v>
      </c>
    </row>
    <row r="40" spans="5:90">
      <c r="E40" s="146"/>
      <c r="AN40" s="147">
        <f>details!D22</f>
        <v>250</v>
      </c>
    </row>
    <row r="41" spans="5:90">
      <c r="I41" s="146">
        <f>G39+230</f>
        <v>267</v>
      </c>
      <c r="BL41" s="145">
        <f>H7</f>
        <v>61.9</v>
      </c>
    </row>
    <row r="42" spans="5:90" ht="13.8">
      <c r="P42" s="145">
        <f>(AA46-AF42)-(N29/2)</f>
        <v>976.75</v>
      </c>
      <c r="AF42" s="457">
        <f>details!D23</f>
        <v>1010</v>
      </c>
      <c r="AG42" s="457"/>
    </row>
    <row r="44" spans="5:90">
      <c r="V44" s="156">
        <f>(AA46-AN40)-(N29)</f>
        <v>1686.5</v>
      </c>
    </row>
    <row r="45" spans="5:90">
      <c r="BU45" s="145">
        <f>CG50-CL47</f>
        <v>1005</v>
      </c>
    </row>
    <row r="46" spans="5:90" ht="13.8">
      <c r="AA46" s="458">
        <f>details!I46</f>
        <v>2037</v>
      </c>
      <c r="AB46" s="458"/>
    </row>
    <row r="47" spans="5:90">
      <c r="CL47" s="157">
        <f>details!D14</f>
        <v>1032</v>
      </c>
    </row>
    <row r="48" spans="5:90">
      <c r="G48" s="145" t="s">
        <v>241</v>
      </c>
    </row>
    <row r="50" spans="2:86" ht="13.8" thickBot="1">
      <c r="C50" s="155" t="s">
        <v>240</v>
      </c>
      <c r="D50" s="155"/>
      <c r="G50" s="155" t="s">
        <v>242</v>
      </c>
      <c r="L50" s="155" t="s">
        <v>274</v>
      </c>
      <c r="R50" s="155" t="s">
        <v>251</v>
      </c>
      <c r="Z50" s="145" t="s">
        <v>252</v>
      </c>
      <c r="AC50" s="145" t="s">
        <v>253</v>
      </c>
      <c r="AF50" s="145" t="s">
        <v>275</v>
      </c>
      <c r="AI50" s="145" t="s">
        <v>254</v>
      </c>
      <c r="CG50" s="451">
        <f>AA46</f>
        <v>2037</v>
      </c>
      <c r="CH50" s="451"/>
    </row>
    <row r="51" spans="2:86" ht="13.8" thickBot="1">
      <c r="C51" s="158" t="s">
        <v>192</v>
      </c>
      <c r="D51" s="159" t="s">
        <v>193</v>
      </c>
      <c r="G51" s="454" t="s">
        <v>192</v>
      </c>
      <c r="H51" s="454"/>
      <c r="I51" s="454" t="s">
        <v>193</v>
      </c>
      <c r="J51" s="454"/>
      <c r="L51" s="454" t="s">
        <v>192</v>
      </c>
      <c r="M51" s="454"/>
      <c r="N51" s="454" t="s">
        <v>193</v>
      </c>
      <c r="O51" s="454"/>
      <c r="R51" s="448" t="s">
        <v>192</v>
      </c>
      <c r="S51" s="449"/>
      <c r="T51" s="448" t="s">
        <v>193</v>
      </c>
      <c r="U51" s="449"/>
      <c r="V51" s="160"/>
      <c r="Z51" s="161" t="s">
        <v>192</v>
      </c>
      <c r="AA51" s="161" t="s">
        <v>193</v>
      </c>
      <c r="AC51" s="161" t="s">
        <v>192</v>
      </c>
      <c r="AD51" s="161" t="s">
        <v>193</v>
      </c>
      <c r="AF51" s="161" t="s">
        <v>192</v>
      </c>
      <c r="AG51" s="161" t="s">
        <v>193</v>
      </c>
      <c r="AI51" s="161" t="s">
        <v>192</v>
      </c>
      <c r="AJ51" s="161" t="s">
        <v>193</v>
      </c>
      <c r="AR51" s="155" t="s">
        <v>194</v>
      </c>
    </row>
    <row r="52" spans="2:86">
      <c r="B52" s="153">
        <v>1</v>
      </c>
      <c r="C52" s="162">
        <v>0</v>
      </c>
      <c r="D52" s="162">
        <v>0</v>
      </c>
      <c r="F52" s="145" t="s">
        <v>245</v>
      </c>
      <c r="G52" s="163">
        <f>I41</f>
        <v>267</v>
      </c>
      <c r="H52" s="164"/>
      <c r="I52" s="165">
        <f>Q35</f>
        <v>44.5</v>
      </c>
      <c r="J52" s="164"/>
      <c r="L52" s="166">
        <f>G52+N29+Q30</f>
        <v>467</v>
      </c>
      <c r="M52" s="164"/>
      <c r="N52" s="165">
        <f>I52</f>
        <v>44.5</v>
      </c>
      <c r="O52" s="164"/>
      <c r="Q52" s="145">
        <v>1</v>
      </c>
      <c r="R52" s="446">
        <f>BU45-(CC38/2)</f>
        <v>985.75</v>
      </c>
      <c r="S52" s="447"/>
      <c r="T52" s="450">
        <f>CF37</f>
        <v>43</v>
      </c>
      <c r="U52" s="447"/>
      <c r="V52" s="160"/>
      <c r="Y52" s="145">
        <v>1</v>
      </c>
      <c r="Z52" s="167">
        <v>0</v>
      </c>
      <c r="AA52" s="167">
        <v>0</v>
      </c>
      <c r="AC52" s="168">
        <f>BH82</f>
        <v>37</v>
      </c>
      <c r="AD52" s="168">
        <f>BF81+BF80+(BK78-10)</f>
        <v>59.9</v>
      </c>
      <c r="AF52" s="168"/>
      <c r="AG52" s="169"/>
      <c r="AI52" s="168">
        <f>BH65</f>
        <v>61.9</v>
      </c>
      <c r="AJ52" s="169">
        <f>AA62-(BF66+BF68+BM70+10)</f>
        <v>175.2</v>
      </c>
    </row>
    <row r="53" spans="2:86">
      <c r="B53" s="153">
        <v>2</v>
      </c>
      <c r="C53" s="170">
        <v>0</v>
      </c>
      <c r="D53" s="170">
        <f>E36</f>
        <v>9.9</v>
      </c>
      <c r="F53" s="145" t="s">
        <v>246</v>
      </c>
      <c r="G53" s="163">
        <f>G52</f>
        <v>267</v>
      </c>
      <c r="H53" s="164"/>
      <c r="I53" s="165">
        <f>I52+K32</f>
        <v>77</v>
      </c>
      <c r="J53" s="164"/>
      <c r="L53" s="163">
        <f>L52</f>
        <v>467</v>
      </c>
      <c r="M53" s="164"/>
      <c r="N53" s="165">
        <f>N52+K32</f>
        <v>77</v>
      </c>
      <c r="O53" s="164"/>
      <c r="Q53" s="145">
        <v>2</v>
      </c>
      <c r="R53" s="446">
        <f>R52</f>
        <v>985.75</v>
      </c>
      <c r="S53" s="447"/>
      <c r="T53" s="446">
        <f>T52+BY36</f>
        <v>52</v>
      </c>
      <c r="U53" s="447"/>
      <c r="V53" s="160"/>
      <c r="Y53" s="145">
        <v>2</v>
      </c>
      <c r="Z53" s="167">
        <v>0</v>
      </c>
      <c r="AA53" s="169">
        <f>BF81</f>
        <v>9.9</v>
      </c>
      <c r="AC53" s="168">
        <f>AC52-BN75</f>
        <v>34.5</v>
      </c>
      <c r="AD53" s="168">
        <f>AD52</f>
        <v>59.9</v>
      </c>
      <c r="AF53" s="168"/>
      <c r="AG53" s="169"/>
      <c r="AI53" s="168">
        <f>AI52-BN75</f>
        <v>59.4</v>
      </c>
      <c r="AJ53" s="169">
        <f>AJ52</f>
        <v>175.2</v>
      </c>
      <c r="AQ53" s="452" t="s">
        <v>169</v>
      </c>
      <c r="AR53" s="452"/>
      <c r="AS53" s="456">
        <f>E36</f>
        <v>9.9</v>
      </c>
      <c r="AT53" s="456"/>
      <c r="AU53" s="171"/>
      <c r="AV53" s="172" t="s">
        <v>195</v>
      </c>
      <c r="AW53" s="172"/>
      <c r="AX53" s="172"/>
      <c r="AY53" s="172"/>
      <c r="AZ53" s="173"/>
    </row>
    <row r="54" spans="2:86">
      <c r="B54" s="153">
        <v>3</v>
      </c>
      <c r="C54" s="170">
        <f>G39</f>
        <v>37</v>
      </c>
      <c r="D54" s="170">
        <f>E36+E33</f>
        <v>46.9</v>
      </c>
      <c r="F54" s="145" t="s">
        <v>247</v>
      </c>
      <c r="G54" s="163">
        <f>G53+N29</f>
        <v>367.5</v>
      </c>
      <c r="H54" s="164"/>
      <c r="I54" s="165">
        <f>I53</f>
        <v>77</v>
      </c>
      <c r="J54" s="164"/>
      <c r="L54" s="166">
        <f>L53+N29</f>
        <v>567.5</v>
      </c>
      <c r="M54" s="164"/>
      <c r="N54" s="165">
        <f>N53</f>
        <v>77</v>
      </c>
      <c r="O54" s="164"/>
      <c r="Q54" s="145">
        <v>3</v>
      </c>
      <c r="R54" s="446">
        <f>R53-((CC30-CC38)/2)</f>
        <v>969.75</v>
      </c>
      <c r="S54" s="447"/>
      <c r="T54" s="446">
        <f>T53</f>
        <v>52</v>
      </c>
      <c r="U54" s="447"/>
      <c r="V54" s="160"/>
      <c r="Y54" s="145">
        <v>3</v>
      </c>
      <c r="Z54" s="169">
        <f>BH82</f>
        <v>37</v>
      </c>
      <c r="AA54" s="169">
        <f>BF81+BF80</f>
        <v>46.9</v>
      </c>
      <c r="AC54" s="168">
        <f>AC53</f>
        <v>34.5</v>
      </c>
      <c r="AD54" s="168">
        <f>AD53+20</f>
        <v>79.900000000000006</v>
      </c>
      <c r="AF54" s="168"/>
      <c r="AG54" s="169"/>
      <c r="AI54" s="168">
        <f>AI53</f>
        <v>59.4</v>
      </c>
      <c r="AJ54" s="169">
        <f>AJ53+20</f>
        <v>195.2</v>
      </c>
      <c r="AQ54" s="452" t="s">
        <v>170</v>
      </c>
      <c r="AR54" s="452"/>
      <c r="AS54" s="456">
        <f>E11</f>
        <v>9.9</v>
      </c>
      <c r="AT54" s="456"/>
      <c r="AU54" s="171"/>
      <c r="AV54" s="172" t="s">
        <v>196</v>
      </c>
      <c r="AW54" s="172"/>
      <c r="AX54" s="172"/>
      <c r="AY54" s="172"/>
      <c r="AZ54" s="173"/>
    </row>
    <row r="55" spans="2:86">
      <c r="B55" s="153">
        <v>4</v>
      </c>
      <c r="C55" s="170">
        <f>G39</f>
        <v>37</v>
      </c>
      <c r="D55" s="174">
        <f>E36+E33+I31</f>
        <v>62.4</v>
      </c>
      <c r="F55" s="145" t="s">
        <v>248</v>
      </c>
      <c r="G55" s="163">
        <f>G54</f>
        <v>367.5</v>
      </c>
      <c r="H55" s="164"/>
      <c r="I55" s="165">
        <f>I54-K32</f>
        <v>44.5</v>
      </c>
      <c r="J55" s="164"/>
      <c r="L55" s="163">
        <f>L54</f>
        <v>567.5</v>
      </c>
      <c r="M55" s="164"/>
      <c r="N55" s="165">
        <f>N54-K32</f>
        <v>44.5</v>
      </c>
      <c r="O55" s="164"/>
      <c r="Q55" s="145">
        <v>4</v>
      </c>
      <c r="R55" s="446">
        <f>R54</f>
        <v>969.75</v>
      </c>
      <c r="S55" s="447"/>
      <c r="T55" s="446">
        <f>T54+BZ34</f>
        <v>81</v>
      </c>
      <c r="U55" s="447"/>
      <c r="V55" s="160"/>
      <c r="Y55" s="145">
        <v>4</v>
      </c>
      <c r="Z55" s="169">
        <f>Z54</f>
        <v>37</v>
      </c>
      <c r="AA55" s="169">
        <f>AA54+BJ78</f>
        <v>51.9</v>
      </c>
      <c r="AC55" s="168">
        <f>AC54+BN75</f>
        <v>37</v>
      </c>
      <c r="AD55" s="168">
        <f>AD54</f>
        <v>79.900000000000006</v>
      </c>
      <c r="AF55" s="168"/>
      <c r="AG55" s="169"/>
      <c r="AI55" s="168">
        <f>AI54+BN75</f>
        <v>61.9</v>
      </c>
      <c r="AJ55" s="169">
        <f>AJ54</f>
        <v>195.2</v>
      </c>
      <c r="AQ55" s="452" t="s">
        <v>198</v>
      </c>
      <c r="AR55" s="452"/>
      <c r="AS55" s="456">
        <f>E33</f>
        <v>37</v>
      </c>
      <c r="AT55" s="452"/>
      <c r="AU55" s="171"/>
      <c r="AV55" s="172" t="s">
        <v>197</v>
      </c>
      <c r="AW55" s="172"/>
      <c r="AX55" s="172"/>
      <c r="AY55" s="172"/>
      <c r="AZ55" s="173"/>
    </row>
    <row r="56" spans="2:86">
      <c r="B56" s="153">
        <v>5</v>
      </c>
      <c r="C56" s="170">
        <f>G39-G28</f>
        <v>22</v>
      </c>
      <c r="D56" s="174">
        <f>D55+O20</f>
        <v>64.900000000000006</v>
      </c>
      <c r="F56" s="145" t="s">
        <v>249</v>
      </c>
      <c r="G56" s="163">
        <f>G52</f>
        <v>267</v>
      </c>
      <c r="H56" s="164"/>
      <c r="I56" s="165">
        <f>I52</f>
        <v>44.5</v>
      </c>
      <c r="J56" s="164"/>
      <c r="L56" s="163">
        <f>L52</f>
        <v>467</v>
      </c>
      <c r="M56" s="164"/>
      <c r="N56" s="165">
        <f>N52</f>
        <v>44.5</v>
      </c>
      <c r="O56" s="164"/>
      <c r="Q56" s="145">
        <v>5</v>
      </c>
      <c r="R56" s="446">
        <f>R55+CC30</f>
        <v>1040.25</v>
      </c>
      <c r="S56" s="447"/>
      <c r="T56" s="446">
        <f>T55</f>
        <v>81</v>
      </c>
      <c r="U56" s="447"/>
      <c r="V56" s="160"/>
      <c r="Y56" s="145">
        <v>5</v>
      </c>
      <c r="Z56" s="169">
        <f>Z55-BH75</f>
        <v>23</v>
      </c>
      <c r="AA56" s="169">
        <f>AA55</f>
        <v>51.9</v>
      </c>
      <c r="AC56" s="168">
        <f>AC55</f>
        <v>37</v>
      </c>
      <c r="AD56" s="168">
        <f>AD52</f>
        <v>59.9</v>
      </c>
      <c r="AF56" s="168"/>
      <c r="AG56" s="169"/>
      <c r="AI56" s="168">
        <f>AI55</f>
        <v>61.9</v>
      </c>
      <c r="AJ56" s="169">
        <f>AJ52</f>
        <v>175.2</v>
      </c>
      <c r="AQ56" s="452" t="s">
        <v>199</v>
      </c>
      <c r="AR56" s="452"/>
      <c r="AS56" s="456">
        <f>E14</f>
        <v>61.9</v>
      </c>
      <c r="AT56" s="452"/>
      <c r="AU56" s="171"/>
      <c r="AV56" s="172" t="s">
        <v>200</v>
      </c>
      <c r="AW56" s="172"/>
      <c r="AX56" s="172"/>
      <c r="AY56" s="172"/>
      <c r="AZ56" s="173"/>
    </row>
    <row r="57" spans="2:86">
      <c r="B57" s="153">
        <v>6</v>
      </c>
      <c r="C57" s="170">
        <f>C56</f>
        <v>22</v>
      </c>
      <c r="D57" s="174">
        <f>D56+F31</f>
        <v>74.900000000000006</v>
      </c>
      <c r="G57" s="455"/>
      <c r="H57" s="455"/>
      <c r="I57" s="455"/>
      <c r="J57" s="455"/>
      <c r="Q57" s="145">
        <v>6</v>
      </c>
      <c r="R57" s="446">
        <f>R56</f>
        <v>1040.25</v>
      </c>
      <c r="S57" s="447"/>
      <c r="T57" s="446">
        <f>T56-BZ34</f>
        <v>52</v>
      </c>
      <c r="U57" s="447"/>
      <c r="V57" s="160"/>
      <c r="Y57" s="145">
        <v>6</v>
      </c>
      <c r="Z57" s="169">
        <f>Z56</f>
        <v>23</v>
      </c>
      <c r="AA57" s="169">
        <f>AA56+BF74</f>
        <v>203.20000000000002</v>
      </c>
      <c r="AC57" s="175"/>
      <c r="AD57" s="175"/>
      <c r="AQ57" s="452" t="s">
        <v>201</v>
      </c>
      <c r="AR57" s="452"/>
      <c r="AS57" s="456">
        <f>G39</f>
        <v>37</v>
      </c>
      <c r="AT57" s="452"/>
      <c r="AU57" s="171"/>
      <c r="AV57" s="172"/>
      <c r="AW57" s="172" t="s">
        <v>197</v>
      </c>
      <c r="AX57" s="172"/>
      <c r="AY57" s="172"/>
      <c r="AZ57" s="173"/>
    </row>
    <row r="58" spans="2:86">
      <c r="B58" s="153">
        <v>7</v>
      </c>
      <c r="C58" s="170">
        <f>C55</f>
        <v>37</v>
      </c>
      <c r="D58" s="174">
        <f>D57+O20</f>
        <v>77.400000000000006</v>
      </c>
      <c r="Q58" s="145">
        <v>7</v>
      </c>
      <c r="R58" s="446">
        <f>R57-((CC30-CC38)/2)</f>
        <v>1024.25</v>
      </c>
      <c r="S58" s="447"/>
      <c r="T58" s="446">
        <f>T57</f>
        <v>52</v>
      </c>
      <c r="U58" s="447"/>
      <c r="V58" s="160"/>
      <c r="Y58" s="145">
        <v>7</v>
      </c>
      <c r="Z58" s="168">
        <f>BH82+BI72</f>
        <v>62</v>
      </c>
      <c r="AA58" s="169">
        <f>AA57</f>
        <v>203.20000000000002</v>
      </c>
      <c r="AC58" s="175"/>
      <c r="AD58" s="175"/>
      <c r="AQ58" s="452" t="s">
        <v>202</v>
      </c>
      <c r="AR58" s="452"/>
      <c r="AS58" s="456">
        <f>H7</f>
        <v>61.9</v>
      </c>
      <c r="AT58" s="452"/>
      <c r="AU58" s="171"/>
      <c r="AV58" s="172"/>
      <c r="AW58" s="172" t="s">
        <v>200</v>
      </c>
      <c r="AX58" s="172"/>
      <c r="AY58" s="172"/>
      <c r="AZ58" s="173"/>
    </row>
    <row r="59" spans="2:86">
      <c r="B59" s="153">
        <v>8</v>
      </c>
      <c r="C59" s="170">
        <f>C58</f>
        <v>37</v>
      </c>
      <c r="D59" s="174">
        <f>D58+I28</f>
        <v>85.050000000000011</v>
      </c>
      <c r="G59" s="155" t="s">
        <v>243</v>
      </c>
      <c r="Q59" s="145">
        <v>8</v>
      </c>
      <c r="R59" s="446">
        <f>R58</f>
        <v>1024.25</v>
      </c>
      <c r="S59" s="447"/>
      <c r="T59" s="446">
        <f>T58-BY36</f>
        <v>43</v>
      </c>
      <c r="U59" s="447"/>
      <c r="V59" s="160"/>
      <c r="Y59" s="145">
        <v>8</v>
      </c>
      <c r="Z59" s="169">
        <f>Z58</f>
        <v>62</v>
      </c>
      <c r="AA59" s="169">
        <f>AA57+BJ78</f>
        <v>208.20000000000002</v>
      </c>
      <c r="AC59" s="145" t="s">
        <v>284</v>
      </c>
      <c r="AF59" s="145" t="s">
        <v>275</v>
      </c>
      <c r="AI59" s="145" t="s">
        <v>285</v>
      </c>
      <c r="AQ59" s="452" t="s">
        <v>203</v>
      </c>
      <c r="AR59" s="452"/>
      <c r="AS59" s="456">
        <f>E29</f>
        <v>38.15</v>
      </c>
      <c r="AT59" s="452"/>
      <c r="AU59" s="171"/>
      <c r="AV59" s="172" t="s">
        <v>205</v>
      </c>
      <c r="AW59" s="172"/>
      <c r="AX59" s="172"/>
      <c r="AY59" s="172"/>
      <c r="AZ59" s="173"/>
    </row>
    <row r="60" spans="2:86">
      <c r="B60" s="153">
        <v>9</v>
      </c>
      <c r="C60" s="170">
        <f>C59+I39</f>
        <v>62</v>
      </c>
      <c r="D60" s="174">
        <f>D59</f>
        <v>85.050000000000011</v>
      </c>
      <c r="G60" s="454" t="s">
        <v>192</v>
      </c>
      <c r="H60" s="454"/>
      <c r="I60" s="454" t="s">
        <v>193</v>
      </c>
      <c r="J60" s="454"/>
      <c r="Q60" s="145">
        <v>9</v>
      </c>
      <c r="R60" s="446">
        <f>R59-CC38</f>
        <v>985.75</v>
      </c>
      <c r="S60" s="447"/>
      <c r="T60" s="446">
        <f>T59</f>
        <v>43</v>
      </c>
      <c r="U60" s="447"/>
      <c r="V60" s="160"/>
      <c r="Y60" s="145">
        <v>9</v>
      </c>
      <c r="Z60" s="167">
        <v>0</v>
      </c>
      <c r="AA60" s="169">
        <f>AA59+BF68</f>
        <v>270.10000000000002</v>
      </c>
      <c r="AC60" s="332" t="s">
        <v>192</v>
      </c>
      <c r="AD60" s="332" t="s">
        <v>193</v>
      </c>
      <c r="AF60" s="332" t="s">
        <v>192</v>
      </c>
      <c r="AG60" s="332" t="s">
        <v>193</v>
      </c>
      <c r="AI60" s="332" t="s">
        <v>192</v>
      </c>
      <c r="AJ60" s="332" t="s">
        <v>193</v>
      </c>
      <c r="AQ60" s="452" t="s">
        <v>204</v>
      </c>
      <c r="AR60" s="452"/>
      <c r="AS60" s="456">
        <f>E18</f>
        <v>0</v>
      </c>
      <c r="AT60" s="452"/>
      <c r="AU60" s="171"/>
      <c r="AV60" s="172" t="s">
        <v>206</v>
      </c>
      <c r="AW60" s="172"/>
      <c r="AX60" s="172"/>
      <c r="AY60" s="172"/>
      <c r="AZ60" s="173"/>
    </row>
    <row r="61" spans="2:86">
      <c r="B61" s="153">
        <v>10</v>
      </c>
      <c r="C61" s="170">
        <f>C60</f>
        <v>62</v>
      </c>
      <c r="D61" s="174">
        <f>D60+J22</f>
        <v>177.70000000000002</v>
      </c>
      <c r="G61" s="452">
        <f>P42</f>
        <v>976.75</v>
      </c>
      <c r="H61" s="452"/>
      <c r="I61" s="453">
        <f>Q35</f>
        <v>44.5</v>
      </c>
      <c r="J61" s="452"/>
      <c r="R61" s="455"/>
      <c r="S61" s="455"/>
      <c r="T61" s="455"/>
      <c r="U61" s="455"/>
      <c r="V61" s="175"/>
      <c r="Y61" s="145">
        <v>10</v>
      </c>
      <c r="Z61" s="167">
        <v>0</v>
      </c>
      <c r="AA61" s="169">
        <f>AA60+BF66</f>
        <v>280</v>
      </c>
      <c r="AC61" s="168">
        <f>BS63-BH82</f>
        <v>837</v>
      </c>
      <c r="AD61" s="168">
        <f>AD52</f>
        <v>59.9</v>
      </c>
      <c r="AF61" s="168"/>
      <c r="AG61" s="169"/>
      <c r="AI61" s="168">
        <f>BS63-CA64</f>
        <v>812.1</v>
      </c>
      <c r="AJ61" s="169">
        <f>AJ52</f>
        <v>175.2</v>
      </c>
      <c r="AQ61" s="452" t="s">
        <v>207</v>
      </c>
      <c r="AR61" s="452"/>
      <c r="AS61" s="456">
        <f>E23</f>
        <v>123.15</v>
      </c>
      <c r="AT61" s="452"/>
      <c r="AU61" s="171"/>
      <c r="AV61" s="172" t="s">
        <v>208</v>
      </c>
      <c r="AW61" s="172"/>
      <c r="AX61" s="172"/>
      <c r="AY61" s="172"/>
      <c r="AZ61" s="173"/>
    </row>
    <row r="62" spans="2:86">
      <c r="B62" s="153">
        <v>11</v>
      </c>
      <c r="C62" s="170">
        <f>C61-G28</f>
        <v>47</v>
      </c>
      <c r="D62" s="174">
        <f>D61+O20</f>
        <v>180.20000000000002</v>
      </c>
      <c r="G62" s="452">
        <f>P42</f>
        <v>976.75</v>
      </c>
      <c r="H62" s="452"/>
      <c r="I62" s="453">
        <f>Q35+K32</f>
        <v>77</v>
      </c>
      <c r="J62" s="452"/>
      <c r="R62" s="455"/>
      <c r="S62" s="455"/>
      <c r="T62" s="455"/>
      <c r="U62" s="455"/>
      <c r="V62" s="175"/>
      <c r="Y62" s="145">
        <v>11</v>
      </c>
      <c r="Z62" s="167">
        <f>BS63</f>
        <v>874</v>
      </c>
      <c r="AA62" s="169">
        <f>AA61</f>
        <v>280</v>
      </c>
      <c r="AC62" s="168">
        <f>AC61+BN75</f>
        <v>839.5</v>
      </c>
      <c r="AD62" s="168">
        <f>AD61</f>
        <v>59.9</v>
      </c>
      <c r="AF62" s="168"/>
      <c r="AG62" s="169"/>
      <c r="AI62" s="168">
        <f>AI61+BN75</f>
        <v>814.6</v>
      </c>
      <c r="AJ62" s="169">
        <f>AJ61</f>
        <v>175.2</v>
      </c>
      <c r="AQ62" s="446" t="s">
        <v>165</v>
      </c>
      <c r="AR62" s="447"/>
      <c r="AS62" s="450">
        <f>J26</f>
        <v>0</v>
      </c>
      <c r="AT62" s="447"/>
      <c r="AU62" s="171"/>
      <c r="AV62" s="172" t="s">
        <v>215</v>
      </c>
      <c r="AW62" s="172"/>
      <c r="AX62" s="172"/>
      <c r="AY62" s="172"/>
      <c r="AZ62" s="173"/>
    </row>
    <row r="63" spans="2:86">
      <c r="B63" s="153">
        <v>12</v>
      </c>
      <c r="C63" s="170">
        <f>C62</f>
        <v>47</v>
      </c>
      <c r="D63" s="174">
        <f>D62+O22</f>
        <v>190.20000000000002</v>
      </c>
      <c r="G63" s="452">
        <f>P42+N29</f>
        <v>1077.25</v>
      </c>
      <c r="H63" s="452"/>
      <c r="I63" s="453">
        <f>I62</f>
        <v>77</v>
      </c>
      <c r="J63" s="452"/>
      <c r="R63" s="455"/>
      <c r="S63" s="455"/>
      <c r="T63" s="455"/>
      <c r="U63" s="455"/>
      <c r="V63" s="175"/>
      <c r="Y63" s="145">
        <v>12</v>
      </c>
      <c r="Z63" s="167">
        <f>Z62</f>
        <v>874</v>
      </c>
      <c r="AA63" s="169">
        <f>AA62-CC65</f>
        <v>270.10000000000002</v>
      </c>
      <c r="AC63" s="168">
        <f>AC62</f>
        <v>839.5</v>
      </c>
      <c r="AD63" s="168">
        <f>AD62+20</f>
        <v>79.900000000000006</v>
      </c>
      <c r="AF63" s="168"/>
      <c r="AG63" s="169"/>
      <c r="AI63" s="168">
        <f>AI62</f>
        <v>814.6</v>
      </c>
      <c r="AJ63" s="169">
        <f>AJ62+20</f>
        <v>195.2</v>
      </c>
      <c r="AQ63" s="452" t="s">
        <v>211</v>
      </c>
      <c r="AR63" s="452"/>
      <c r="AS63" s="456">
        <f>J22</f>
        <v>92.65</v>
      </c>
      <c r="AT63" s="452"/>
      <c r="AU63" s="171"/>
      <c r="AV63" s="172" t="s">
        <v>216</v>
      </c>
      <c r="AW63" s="172"/>
      <c r="AX63" s="172"/>
      <c r="AY63" s="172"/>
      <c r="AZ63" s="173"/>
      <c r="BS63" s="145">
        <f>details!I47</f>
        <v>874</v>
      </c>
    </row>
    <row r="64" spans="2:86">
      <c r="B64" s="153">
        <v>13</v>
      </c>
      <c r="C64" s="170">
        <f>C61</f>
        <v>62</v>
      </c>
      <c r="D64" s="174">
        <f>D63+O20</f>
        <v>192.70000000000002</v>
      </c>
      <c r="G64" s="452">
        <f>G63</f>
        <v>1077.25</v>
      </c>
      <c r="H64" s="452"/>
      <c r="I64" s="453">
        <f>I55</f>
        <v>44.5</v>
      </c>
      <c r="J64" s="452"/>
      <c r="Y64" s="145">
        <v>13</v>
      </c>
      <c r="Z64" s="169">
        <f>Z63-BH65</f>
        <v>812.1</v>
      </c>
      <c r="AA64" s="169">
        <f>AA63-BF68</f>
        <v>208.20000000000002</v>
      </c>
      <c r="AC64" s="168">
        <f>AC61</f>
        <v>837</v>
      </c>
      <c r="AD64" s="168">
        <f>AD63</f>
        <v>79.900000000000006</v>
      </c>
      <c r="AF64" s="168"/>
      <c r="AG64" s="169"/>
      <c r="AI64" s="168">
        <f>AI61</f>
        <v>812.1</v>
      </c>
      <c r="AJ64" s="169">
        <f>AJ63</f>
        <v>195.2</v>
      </c>
      <c r="AQ64" s="452" t="s">
        <v>212</v>
      </c>
      <c r="AR64" s="452"/>
      <c r="AS64" s="452">
        <f>O22</f>
        <v>10</v>
      </c>
      <c r="AT64" s="452"/>
      <c r="AU64" s="171"/>
      <c r="AV64" s="172" t="s">
        <v>219</v>
      </c>
      <c r="AW64" s="172"/>
      <c r="AX64" s="172"/>
      <c r="AY64" s="172"/>
      <c r="AZ64" s="173"/>
      <c r="CA64" s="146">
        <f>BH65</f>
        <v>61.9</v>
      </c>
    </row>
    <row r="65" spans="2:81">
      <c r="B65" s="153">
        <v>14</v>
      </c>
      <c r="C65" s="170">
        <f>C64</f>
        <v>62</v>
      </c>
      <c r="D65" s="174">
        <f>D64+K17</f>
        <v>208.20000000000002</v>
      </c>
      <c r="G65" s="452">
        <f>G61</f>
        <v>976.75</v>
      </c>
      <c r="H65" s="452"/>
      <c r="I65" s="453">
        <f>I61</f>
        <v>44.5</v>
      </c>
      <c r="J65" s="452"/>
      <c r="Y65" s="145">
        <v>14</v>
      </c>
      <c r="Z65" s="169">
        <f>Z64</f>
        <v>812.1</v>
      </c>
      <c r="AA65" s="169">
        <f>AA64-BJ78</f>
        <v>203.20000000000002</v>
      </c>
      <c r="AC65" s="168">
        <f>AC64</f>
        <v>837</v>
      </c>
      <c r="AD65" s="168">
        <f>AD61</f>
        <v>59.9</v>
      </c>
      <c r="AF65" s="168"/>
      <c r="AG65" s="169"/>
      <c r="AI65" s="168">
        <f>AI64</f>
        <v>812.1</v>
      </c>
      <c r="AJ65" s="169">
        <f>AJ61</f>
        <v>175.2</v>
      </c>
      <c r="AQ65" s="452" t="s">
        <v>213</v>
      </c>
      <c r="AR65" s="452"/>
      <c r="AS65" s="452">
        <f>R22</f>
        <v>15</v>
      </c>
      <c r="AT65" s="452"/>
      <c r="AU65" s="171"/>
      <c r="AV65" s="172" t="s">
        <v>218</v>
      </c>
      <c r="AW65" s="172"/>
      <c r="AX65" s="172"/>
      <c r="AY65" s="172"/>
      <c r="AZ65" s="173"/>
      <c r="BH65" s="146">
        <f>H7</f>
        <v>61.9</v>
      </c>
      <c r="CC65" s="146">
        <f>BF66</f>
        <v>9.9</v>
      </c>
    </row>
    <row r="66" spans="2:81">
      <c r="B66" s="153">
        <v>15</v>
      </c>
      <c r="C66" s="174">
        <v>0</v>
      </c>
      <c r="D66" s="174">
        <f>D65+E14</f>
        <v>270.10000000000002</v>
      </c>
      <c r="Y66" s="145">
        <v>15</v>
      </c>
      <c r="Z66" s="169">
        <f>Z65+BI72+BH75</f>
        <v>851.1</v>
      </c>
      <c r="AA66" s="169">
        <f>AA65</f>
        <v>203.20000000000002</v>
      </c>
      <c r="AQ66" s="452" t="s">
        <v>214</v>
      </c>
      <c r="AR66" s="452"/>
      <c r="AS66" s="452">
        <f>G28</f>
        <v>15</v>
      </c>
      <c r="AT66" s="452"/>
      <c r="AU66" s="171"/>
      <c r="AV66" s="172" t="s">
        <v>217</v>
      </c>
      <c r="AW66" s="172"/>
      <c r="AX66" s="172"/>
      <c r="AY66" s="172"/>
      <c r="AZ66" s="173"/>
      <c r="BF66" s="146">
        <f>E11</f>
        <v>9.9</v>
      </c>
    </row>
    <row r="67" spans="2:81">
      <c r="B67" s="153">
        <v>16</v>
      </c>
      <c r="C67" s="174">
        <v>0</v>
      </c>
      <c r="D67" s="174">
        <f>D66+E11</f>
        <v>280</v>
      </c>
      <c r="Y67" s="145">
        <v>16</v>
      </c>
      <c r="Z67" s="169">
        <f>Z66</f>
        <v>851.1</v>
      </c>
      <c r="AA67" s="169">
        <f>AA66-BF74</f>
        <v>51.900000000000006</v>
      </c>
      <c r="AQ67" s="452" t="s">
        <v>209</v>
      </c>
      <c r="AR67" s="452"/>
      <c r="AS67" s="452">
        <f>I7</f>
        <v>0</v>
      </c>
      <c r="AT67" s="452"/>
      <c r="AU67" s="171"/>
      <c r="AV67" s="172" t="s">
        <v>210</v>
      </c>
      <c r="AW67" s="172"/>
      <c r="AX67" s="172"/>
      <c r="AY67" s="172"/>
      <c r="AZ67" s="173"/>
      <c r="CC67" s="146">
        <f>BF68</f>
        <v>61.9</v>
      </c>
    </row>
    <row r="68" spans="2:81">
      <c r="B68" s="153">
        <v>17</v>
      </c>
      <c r="C68" s="174">
        <f>AA46</f>
        <v>2037</v>
      </c>
      <c r="D68" s="174">
        <f>D67</f>
        <v>280</v>
      </c>
      <c r="G68" s="155" t="s">
        <v>244</v>
      </c>
      <c r="Q68" s="145" t="s">
        <v>255</v>
      </c>
      <c r="Y68" s="145">
        <v>17</v>
      </c>
      <c r="Z68" s="169">
        <f>Z67-BH75</f>
        <v>837.1</v>
      </c>
      <c r="AA68" s="169">
        <f>AA67</f>
        <v>51.900000000000006</v>
      </c>
      <c r="AQ68" s="452" t="s">
        <v>160</v>
      </c>
      <c r="AR68" s="452"/>
      <c r="AS68" s="456">
        <f>I31</f>
        <v>15.5</v>
      </c>
      <c r="AT68" s="452"/>
      <c r="AU68" s="171" t="s">
        <v>220</v>
      </c>
      <c r="AV68" s="172"/>
      <c r="AW68" s="172"/>
      <c r="AX68" s="172"/>
      <c r="AY68" s="172"/>
      <c r="AZ68" s="173"/>
      <c r="BF68" s="146">
        <f>E14</f>
        <v>61.9</v>
      </c>
    </row>
    <row r="69" spans="2:81">
      <c r="B69" s="153">
        <v>18</v>
      </c>
      <c r="C69" s="174">
        <f>C68</f>
        <v>2037</v>
      </c>
      <c r="D69" s="174">
        <v>0</v>
      </c>
      <c r="G69" s="454" t="s">
        <v>192</v>
      </c>
      <c r="H69" s="454"/>
      <c r="I69" s="454" t="s">
        <v>193</v>
      </c>
      <c r="J69" s="454"/>
      <c r="Y69" s="145">
        <v>18</v>
      </c>
      <c r="Z69" s="169">
        <f>Z68</f>
        <v>837.1</v>
      </c>
      <c r="AA69" s="169">
        <f>AA68-BJ78</f>
        <v>46.900000000000006</v>
      </c>
      <c r="AQ69" s="452" t="s">
        <v>161</v>
      </c>
      <c r="AR69" s="452"/>
      <c r="AS69" s="456">
        <f>I28</f>
        <v>7.6499999999999986</v>
      </c>
      <c r="AT69" s="452"/>
      <c r="AU69" s="171" t="s">
        <v>221</v>
      </c>
      <c r="AV69" s="172"/>
      <c r="AW69" s="172"/>
      <c r="AX69" s="172"/>
      <c r="AY69" s="172"/>
      <c r="AZ69" s="173"/>
    </row>
    <row r="70" spans="2:81">
      <c r="B70" s="153">
        <v>19</v>
      </c>
      <c r="C70" s="174">
        <v>0</v>
      </c>
      <c r="D70" s="174">
        <v>0</v>
      </c>
      <c r="G70" s="452">
        <f>V44</f>
        <v>1686.5</v>
      </c>
      <c r="H70" s="452"/>
      <c r="I70" s="453">
        <f>I61</f>
        <v>44.5</v>
      </c>
      <c r="J70" s="452"/>
      <c r="Y70" s="145">
        <v>19</v>
      </c>
      <c r="Z70" s="169">
        <f>Z69+BH82</f>
        <v>874.1</v>
      </c>
      <c r="AA70" s="169">
        <f>AA69-BF80</f>
        <v>9.9000000000000057</v>
      </c>
      <c r="AQ70" s="452" t="s">
        <v>222</v>
      </c>
      <c r="AR70" s="452"/>
      <c r="AS70" s="456">
        <f>M21</f>
        <v>0</v>
      </c>
      <c r="AT70" s="452"/>
      <c r="AU70" s="171" t="s">
        <v>224</v>
      </c>
      <c r="AV70" s="172"/>
      <c r="AW70" s="172"/>
      <c r="AX70" s="172"/>
      <c r="AY70" s="172"/>
      <c r="AZ70" s="173"/>
      <c r="BM70" s="145">
        <f>K17+(K18/2)</f>
        <v>23</v>
      </c>
    </row>
    <row r="71" spans="2:81">
      <c r="B71" s="153"/>
      <c r="C71" s="174"/>
      <c r="D71" s="174"/>
      <c r="G71" s="452">
        <f>G70</f>
        <v>1686.5</v>
      </c>
      <c r="H71" s="452"/>
      <c r="I71" s="453">
        <f>I62</f>
        <v>77</v>
      </c>
      <c r="J71" s="452"/>
      <c r="Y71" s="145">
        <v>20</v>
      </c>
      <c r="Z71" s="169">
        <f>Z70</f>
        <v>874.1</v>
      </c>
      <c r="AA71" s="167">
        <v>0</v>
      </c>
      <c r="AQ71" s="452" t="s">
        <v>223</v>
      </c>
      <c r="AR71" s="452"/>
      <c r="AS71" s="456">
        <f>K17</f>
        <v>15.5</v>
      </c>
      <c r="AT71" s="452"/>
      <c r="AU71" s="171" t="s">
        <v>225</v>
      </c>
      <c r="AV71" s="172"/>
      <c r="AW71" s="172"/>
      <c r="AX71" s="172"/>
      <c r="AY71" s="172"/>
      <c r="AZ71" s="173"/>
    </row>
    <row r="72" spans="2:81">
      <c r="B72" s="153"/>
      <c r="C72" s="170"/>
      <c r="D72" s="174"/>
      <c r="G72" s="452">
        <f>G71+N29</f>
        <v>1787</v>
      </c>
      <c r="H72" s="452"/>
      <c r="I72" s="453">
        <f>I71</f>
        <v>77</v>
      </c>
      <c r="J72" s="452"/>
      <c r="Y72" s="145">
        <v>21</v>
      </c>
      <c r="Z72" s="167">
        <v>0</v>
      </c>
      <c r="AA72" s="167">
        <v>0</v>
      </c>
      <c r="AQ72" s="452" t="s">
        <v>22</v>
      </c>
      <c r="AR72" s="452"/>
      <c r="AS72" s="452">
        <f>AA46</f>
        <v>2037</v>
      </c>
      <c r="AT72" s="452"/>
      <c r="AU72" s="171" t="s">
        <v>226</v>
      </c>
      <c r="AV72" s="172"/>
      <c r="AW72" s="172"/>
      <c r="AX72" s="172"/>
      <c r="AY72" s="172"/>
      <c r="AZ72" s="173"/>
      <c r="BI72" s="145">
        <f>I39</f>
        <v>25</v>
      </c>
    </row>
    <row r="73" spans="2:81">
      <c r="B73" s="153"/>
      <c r="C73" s="170"/>
      <c r="D73" s="174"/>
      <c r="G73" s="452">
        <f>G72</f>
        <v>1787</v>
      </c>
      <c r="H73" s="452"/>
      <c r="I73" s="453">
        <f>I64</f>
        <v>44.5</v>
      </c>
      <c r="J73" s="452"/>
      <c r="AQ73" s="452" t="s">
        <v>30</v>
      </c>
      <c r="AR73" s="452"/>
      <c r="AS73" s="453">
        <f>AR24</f>
        <v>280</v>
      </c>
      <c r="AT73" s="452"/>
      <c r="AU73" s="171" t="s">
        <v>227</v>
      </c>
      <c r="AV73" s="172"/>
      <c r="AW73" s="172"/>
      <c r="AX73" s="172"/>
      <c r="AY73" s="172"/>
      <c r="AZ73" s="173"/>
      <c r="BD73" s="149">
        <f>AR24</f>
        <v>280</v>
      </c>
      <c r="BN73" s="147">
        <v>20</v>
      </c>
      <c r="CC73" s="146">
        <f>BF74</f>
        <v>151.30000000000001</v>
      </c>
    </row>
    <row r="74" spans="2:81">
      <c r="B74" s="153"/>
      <c r="C74" s="170"/>
      <c r="D74" s="174"/>
      <c r="G74" s="452">
        <f>G70</f>
        <v>1686.5</v>
      </c>
      <c r="H74" s="452"/>
      <c r="I74" s="453">
        <f>I70</f>
        <v>44.5</v>
      </c>
      <c r="J74" s="452"/>
      <c r="X74" s="145" t="s">
        <v>256</v>
      </c>
      <c r="AQ74" s="452" t="s">
        <v>228</v>
      </c>
      <c r="AR74" s="452"/>
      <c r="AS74" s="452">
        <f>K32</f>
        <v>32.5</v>
      </c>
      <c r="AT74" s="452"/>
      <c r="AU74" s="171" t="s">
        <v>229</v>
      </c>
      <c r="AV74" s="172"/>
      <c r="AW74" s="172"/>
      <c r="AX74" s="172"/>
      <c r="AY74" s="172"/>
      <c r="AZ74" s="173"/>
      <c r="BF74" s="176">
        <f>BD73-(BF81+BF80+BJ78+BF66+BF68+BJ78)</f>
        <v>151.30000000000001</v>
      </c>
      <c r="BI74" s="147"/>
    </row>
    <row r="75" spans="2:81">
      <c r="B75" s="153"/>
      <c r="C75" s="170"/>
      <c r="D75" s="177"/>
      <c r="AQ75" s="452" t="s">
        <v>230</v>
      </c>
      <c r="AR75" s="452"/>
      <c r="AS75" s="452">
        <f>N29</f>
        <v>100.5</v>
      </c>
      <c r="AT75" s="452"/>
      <c r="AU75" s="171" t="s">
        <v>231</v>
      </c>
      <c r="AV75" s="172"/>
      <c r="AW75" s="172"/>
      <c r="AX75" s="172"/>
      <c r="AY75" s="172"/>
      <c r="AZ75" s="173"/>
      <c r="BH75" s="145">
        <v>14</v>
      </c>
      <c r="BN75" s="145">
        <v>2.5</v>
      </c>
    </row>
    <row r="76" spans="2:81">
      <c r="B76" s="153"/>
      <c r="C76" s="170"/>
      <c r="D76" s="174"/>
      <c r="AQ76" s="452" t="s">
        <v>232</v>
      </c>
      <c r="AR76" s="452"/>
      <c r="AS76" s="453">
        <f>Q35</f>
        <v>44.5</v>
      </c>
      <c r="AT76" s="452"/>
      <c r="AU76" s="171" t="s">
        <v>233</v>
      </c>
      <c r="AV76" s="172"/>
      <c r="AW76" s="172"/>
      <c r="AX76" s="172"/>
      <c r="AY76" s="172"/>
      <c r="AZ76" s="173"/>
    </row>
    <row r="77" spans="2:81">
      <c r="B77" s="153"/>
      <c r="C77" s="170"/>
      <c r="D77" s="174"/>
      <c r="AQ77" s="452" t="s">
        <v>234</v>
      </c>
      <c r="AR77" s="452"/>
      <c r="AS77" s="452">
        <f>I41</f>
        <v>267</v>
      </c>
      <c r="AT77" s="452"/>
      <c r="AU77" s="171" t="s">
        <v>237</v>
      </c>
      <c r="AV77" s="172"/>
      <c r="AW77" s="172"/>
      <c r="AX77" s="172"/>
      <c r="AY77" s="172"/>
      <c r="AZ77" s="173"/>
    </row>
    <row r="78" spans="2:81">
      <c r="B78" s="153"/>
      <c r="C78" s="178"/>
      <c r="D78" s="178"/>
      <c r="AQ78" s="452" t="s">
        <v>235</v>
      </c>
      <c r="AR78" s="452"/>
      <c r="AS78" s="452">
        <f>P42</f>
        <v>976.75</v>
      </c>
      <c r="AT78" s="452"/>
      <c r="AU78" s="171" t="s">
        <v>238</v>
      </c>
      <c r="AV78" s="172"/>
      <c r="AW78" s="172"/>
      <c r="AX78" s="172"/>
      <c r="AY78" s="172"/>
      <c r="AZ78" s="173"/>
      <c r="BJ78" s="147">
        <v>5</v>
      </c>
      <c r="BK78" s="145">
        <f>I31+(I30/2)</f>
        <v>23</v>
      </c>
      <c r="CC78" s="146">
        <f>BF80</f>
        <v>37</v>
      </c>
    </row>
    <row r="79" spans="2:81">
      <c r="AQ79" s="452" t="s">
        <v>236</v>
      </c>
      <c r="AR79" s="452"/>
      <c r="AS79" s="452">
        <f>V44</f>
        <v>1686.5</v>
      </c>
      <c r="AT79" s="452"/>
      <c r="AU79" s="171" t="s">
        <v>239</v>
      </c>
      <c r="AV79" s="172"/>
      <c r="AW79" s="172"/>
      <c r="AX79" s="172"/>
      <c r="AY79" s="172"/>
      <c r="AZ79" s="173"/>
    </row>
    <row r="80" spans="2:81">
      <c r="AQ80" s="452"/>
      <c r="AR80" s="452"/>
      <c r="AS80" s="452"/>
      <c r="AT80" s="452"/>
      <c r="AU80" s="171"/>
      <c r="AV80" s="172"/>
      <c r="AW80" s="172"/>
      <c r="AX80" s="172"/>
      <c r="AY80" s="172"/>
      <c r="AZ80" s="173"/>
      <c r="BF80" s="146">
        <f>E33</f>
        <v>37</v>
      </c>
      <c r="CC80" s="146">
        <f>BF81</f>
        <v>9.9</v>
      </c>
    </row>
    <row r="81" spans="3:79">
      <c r="E81" s="146">
        <f>(AA46-(200+C85))/3</f>
        <v>525</v>
      </c>
      <c r="N81" s="161">
        <f>profile!C21</f>
        <v>2</v>
      </c>
      <c r="AQ81" s="452"/>
      <c r="AR81" s="452"/>
      <c r="AS81" s="452"/>
      <c r="AT81" s="452"/>
      <c r="AU81" s="171"/>
      <c r="AV81" s="172"/>
      <c r="AW81" s="172"/>
      <c r="AX81" s="172"/>
      <c r="AY81" s="172"/>
      <c r="AZ81" s="173"/>
      <c r="BF81" s="146">
        <f>E36</f>
        <v>9.9</v>
      </c>
    </row>
    <row r="82" spans="3:79">
      <c r="C82" s="145" t="s">
        <v>270</v>
      </c>
      <c r="BH82" s="146">
        <f>G39</f>
        <v>37</v>
      </c>
      <c r="CA82" s="146">
        <f>BH82</f>
        <v>37</v>
      </c>
    </row>
    <row r="83" spans="3:79">
      <c r="C83" s="145" t="s">
        <v>266</v>
      </c>
      <c r="E83" s="145" t="s">
        <v>267</v>
      </c>
      <c r="G83" s="145" t="s">
        <v>268</v>
      </c>
    </row>
    <row r="84" spans="3:79">
      <c r="C84" s="179" t="s">
        <v>192</v>
      </c>
      <c r="D84" s="179" t="s">
        <v>193</v>
      </c>
      <c r="E84" s="179" t="s">
        <v>192</v>
      </c>
      <c r="F84" s="179" t="s">
        <v>193</v>
      </c>
      <c r="G84" s="179" t="s">
        <v>269</v>
      </c>
    </row>
    <row r="85" spans="3:79">
      <c r="C85" s="180">
        <f>G39+I39+200</f>
        <v>262</v>
      </c>
      <c r="D85" s="180">
        <f>F85-IF(profile!C24="D/B-7",dwg!Y21,IF(profile!C24="D/B-3.5",dwg!Y22,nil))</f>
        <v>157.375</v>
      </c>
      <c r="E85" s="180">
        <f>C85</f>
        <v>262</v>
      </c>
      <c r="F85" s="169">
        <f>(E36+E33+E29+E23)-W18</f>
        <v>159.125</v>
      </c>
      <c r="G85" s="170">
        <v>1</v>
      </c>
    </row>
    <row r="86" spans="3:79">
      <c r="C86" s="181">
        <f>AA46-200</f>
        <v>1837</v>
      </c>
      <c r="D86" s="180">
        <f>D85</f>
        <v>157.375</v>
      </c>
      <c r="E86" s="181">
        <f>C86</f>
        <v>1837</v>
      </c>
      <c r="F86" s="169">
        <f>F85</f>
        <v>159.125</v>
      </c>
      <c r="G86" s="170">
        <f>G85</f>
        <v>1</v>
      </c>
    </row>
    <row r="87" spans="3:79">
      <c r="C87" s="180">
        <f>C85+E81</f>
        <v>787</v>
      </c>
      <c r="D87" s="180">
        <f>D85</f>
        <v>157.375</v>
      </c>
      <c r="E87" s="180">
        <f>C87</f>
        <v>787</v>
      </c>
      <c r="F87" s="320">
        <f>F85</f>
        <v>159.125</v>
      </c>
      <c r="G87" s="170">
        <f>G85</f>
        <v>1</v>
      </c>
      <c r="N87" s="160" t="str">
        <f>profile!C24</f>
        <v>D/B-3.5</v>
      </c>
    </row>
    <row r="88" spans="3:79">
      <c r="C88" s="180">
        <f>C87+E81</f>
        <v>1312</v>
      </c>
      <c r="D88" s="180">
        <f>D85</f>
        <v>157.375</v>
      </c>
      <c r="E88" s="180">
        <f>C88</f>
        <v>1312</v>
      </c>
      <c r="F88" s="320">
        <f>F85</f>
        <v>159.125</v>
      </c>
      <c r="G88" s="170">
        <f>G85</f>
        <v>1</v>
      </c>
    </row>
    <row r="89" spans="3:79">
      <c r="C89" s="181"/>
      <c r="D89" s="181"/>
      <c r="E89" s="160"/>
      <c r="F89" s="181"/>
      <c r="G89" s="181"/>
    </row>
    <row r="90" spans="3:79" ht="13.8" thickBot="1">
      <c r="C90" s="181"/>
      <c r="D90" s="181"/>
      <c r="E90" s="160"/>
      <c r="F90" s="181"/>
      <c r="G90" s="181"/>
    </row>
    <row r="91" spans="3:79" ht="13.8" thickBot="1">
      <c r="N91" s="322" t="str">
        <f>profile!C22</f>
        <v>UNI</v>
      </c>
      <c r="P91" s="145" t="s">
        <v>277</v>
      </c>
    </row>
    <row r="93" spans="3:79">
      <c r="E93" s="146">
        <f>(AA46-(200+C85))/4</f>
        <v>393.75</v>
      </c>
    </row>
    <row r="94" spans="3:79">
      <c r="C94" s="145" t="s">
        <v>271</v>
      </c>
    </row>
    <row r="95" spans="3:79">
      <c r="C95" s="145" t="s">
        <v>266</v>
      </c>
      <c r="E95" s="145" t="s">
        <v>267</v>
      </c>
      <c r="G95" s="145" t="s">
        <v>268</v>
      </c>
    </row>
    <row r="96" spans="3:79">
      <c r="C96" s="179" t="s">
        <v>192</v>
      </c>
      <c r="D96" s="179" t="s">
        <v>193</v>
      </c>
      <c r="E96" s="179" t="s">
        <v>192</v>
      </c>
      <c r="F96" s="179" t="s">
        <v>193</v>
      </c>
      <c r="G96" s="179" t="s">
        <v>269</v>
      </c>
    </row>
    <row r="97" spans="3:7">
      <c r="C97" s="180">
        <f>G39+I39+200</f>
        <v>262</v>
      </c>
      <c r="D97" s="180">
        <f>D85</f>
        <v>157.375</v>
      </c>
      <c r="E97" s="180">
        <f>C97</f>
        <v>262</v>
      </c>
      <c r="F97" s="169">
        <f>F85</f>
        <v>159.125</v>
      </c>
      <c r="G97" s="170">
        <v>1</v>
      </c>
    </row>
    <row r="98" spans="3:7">
      <c r="C98" s="181">
        <f>AA46-200</f>
        <v>1837</v>
      </c>
      <c r="D98" s="180">
        <f>D97</f>
        <v>157.375</v>
      </c>
      <c r="E98" s="181">
        <f>C98</f>
        <v>1837</v>
      </c>
      <c r="F98" s="169">
        <f>F97</f>
        <v>159.125</v>
      </c>
      <c r="G98" s="170">
        <f>G97</f>
        <v>1</v>
      </c>
    </row>
    <row r="99" spans="3:7">
      <c r="C99" s="180">
        <f>C97+E93</f>
        <v>655.75</v>
      </c>
      <c r="D99" s="180">
        <f>D97</f>
        <v>157.375</v>
      </c>
      <c r="E99" s="180">
        <f>C99</f>
        <v>655.75</v>
      </c>
      <c r="F99" s="320">
        <f>F97</f>
        <v>159.125</v>
      </c>
      <c r="G99" s="170">
        <f>G97</f>
        <v>1</v>
      </c>
    </row>
    <row r="100" spans="3:7">
      <c r="C100" s="180">
        <f>C99+E93</f>
        <v>1049.5</v>
      </c>
      <c r="D100" s="180">
        <f>D97</f>
        <v>157.375</v>
      </c>
      <c r="E100" s="180">
        <f>C100</f>
        <v>1049.5</v>
      </c>
      <c r="F100" s="320">
        <f>F97</f>
        <v>159.125</v>
      </c>
      <c r="G100" s="170">
        <f>G97</f>
        <v>1</v>
      </c>
    </row>
    <row r="101" spans="3:7">
      <c r="C101" s="180">
        <f>C100+E93</f>
        <v>1443.25</v>
      </c>
      <c r="D101" s="180">
        <f>D97</f>
        <v>157.375</v>
      </c>
      <c r="E101" s="180">
        <f>C101</f>
        <v>1443.25</v>
      </c>
      <c r="F101" s="320">
        <f>F97</f>
        <v>159.125</v>
      </c>
      <c r="G101" s="170">
        <f>G97</f>
        <v>1</v>
      </c>
    </row>
    <row r="102" spans="3:7">
      <c r="C102" s="181"/>
      <c r="D102" s="181"/>
      <c r="E102" s="160"/>
      <c r="F102" s="181"/>
      <c r="G102" s="181"/>
    </row>
    <row r="105" spans="3:7">
      <c r="E105" s="146">
        <f>(AA46-(200+C85))/5</f>
        <v>315</v>
      </c>
    </row>
    <row r="106" spans="3:7">
      <c r="C106" s="145" t="s">
        <v>271</v>
      </c>
    </row>
    <row r="107" spans="3:7">
      <c r="C107" s="145" t="s">
        <v>266</v>
      </c>
      <c r="E107" s="145" t="s">
        <v>267</v>
      </c>
      <c r="G107" s="145" t="s">
        <v>268</v>
      </c>
    </row>
    <row r="108" spans="3:7">
      <c r="C108" s="179" t="s">
        <v>192</v>
      </c>
      <c r="D108" s="179" t="s">
        <v>193</v>
      </c>
      <c r="E108" s="179" t="s">
        <v>192</v>
      </c>
      <c r="F108" s="179" t="s">
        <v>193</v>
      </c>
      <c r="G108" s="179" t="s">
        <v>269</v>
      </c>
    </row>
    <row r="109" spans="3:7">
      <c r="C109" s="180">
        <f>G39+I39+200</f>
        <v>262</v>
      </c>
      <c r="D109" s="180">
        <f>D97</f>
        <v>157.375</v>
      </c>
      <c r="E109" s="180">
        <f t="shared" ref="E109:E114" si="0">C109</f>
        <v>262</v>
      </c>
      <c r="F109" s="169">
        <f>F85</f>
        <v>159.125</v>
      </c>
      <c r="G109" s="321">
        <v>1</v>
      </c>
    </row>
    <row r="110" spans="3:7">
      <c r="C110" s="181">
        <f>AA46-200</f>
        <v>1837</v>
      </c>
      <c r="D110" s="180">
        <f>D109</f>
        <v>157.375</v>
      </c>
      <c r="E110" s="181">
        <f t="shared" si="0"/>
        <v>1837</v>
      </c>
      <c r="F110" s="169">
        <f>F109</f>
        <v>159.125</v>
      </c>
      <c r="G110" s="321">
        <f>G109</f>
        <v>1</v>
      </c>
    </row>
    <row r="111" spans="3:7">
      <c r="C111" s="180">
        <f>C109+E105</f>
        <v>577</v>
      </c>
      <c r="D111" s="180">
        <f>D109</f>
        <v>157.375</v>
      </c>
      <c r="E111" s="180">
        <f t="shared" si="0"/>
        <v>577</v>
      </c>
      <c r="F111" s="320">
        <f>F109</f>
        <v>159.125</v>
      </c>
      <c r="G111" s="321">
        <f>G109</f>
        <v>1</v>
      </c>
    </row>
    <row r="112" spans="3:7">
      <c r="C112" s="180">
        <f>C111+E105</f>
        <v>892</v>
      </c>
      <c r="D112" s="180">
        <f>D109</f>
        <v>157.375</v>
      </c>
      <c r="E112" s="180">
        <f t="shared" si="0"/>
        <v>892</v>
      </c>
      <c r="F112" s="320">
        <f>F109</f>
        <v>159.125</v>
      </c>
      <c r="G112" s="321">
        <f>G109</f>
        <v>1</v>
      </c>
    </row>
    <row r="113" spans="3:7">
      <c r="C113" s="180">
        <f>C112+E105</f>
        <v>1207</v>
      </c>
      <c r="D113" s="180">
        <f>D109</f>
        <v>157.375</v>
      </c>
      <c r="E113" s="180">
        <f t="shared" si="0"/>
        <v>1207</v>
      </c>
      <c r="F113" s="320">
        <f>F109</f>
        <v>159.125</v>
      </c>
      <c r="G113" s="321">
        <f>G109</f>
        <v>1</v>
      </c>
    </row>
    <row r="114" spans="3:7">
      <c r="C114" s="180">
        <f>C113+E105</f>
        <v>1522</v>
      </c>
      <c r="D114" s="180">
        <f>D109</f>
        <v>157.375</v>
      </c>
      <c r="E114" s="180">
        <f t="shared" si="0"/>
        <v>1522</v>
      </c>
      <c r="F114" s="180">
        <f>F109</f>
        <v>159.125</v>
      </c>
      <c r="G114" s="321">
        <v>1</v>
      </c>
    </row>
  </sheetData>
  <mergeCells count="117">
    <mergeCell ref="L51:M51"/>
    <mergeCell ref="N51:O51"/>
    <mergeCell ref="AF42:AG42"/>
    <mergeCell ref="AQ73:AR73"/>
    <mergeCell ref="AQ74:AR74"/>
    <mergeCell ref="AQ75:AR75"/>
    <mergeCell ref="AQ58:AR58"/>
    <mergeCell ref="AQ59:AR59"/>
    <mergeCell ref="AQ60:AR60"/>
    <mergeCell ref="AQ61:AR61"/>
    <mergeCell ref="AQ53:AR53"/>
    <mergeCell ref="AQ54:AR54"/>
    <mergeCell ref="AQ55:AR55"/>
    <mergeCell ref="AQ56:AR56"/>
    <mergeCell ref="AQ57:AR57"/>
    <mergeCell ref="AA46:AB46"/>
    <mergeCell ref="AQ62:AR62"/>
    <mergeCell ref="AQ63:AR63"/>
    <mergeCell ref="AQ64:AR64"/>
    <mergeCell ref="AQ65:AR65"/>
    <mergeCell ref="AQ66:AR66"/>
    <mergeCell ref="AQ67:AR67"/>
    <mergeCell ref="R55:S55"/>
    <mergeCell ref="R56:S56"/>
    <mergeCell ref="AS53:AT53"/>
    <mergeCell ref="AS54:AT54"/>
    <mergeCell ref="AS55:AT55"/>
    <mergeCell ref="AS56:AT56"/>
    <mergeCell ref="AS61:AT61"/>
    <mergeCell ref="AS67:AT67"/>
    <mergeCell ref="AS63:AT63"/>
    <mergeCell ref="AS64:AT64"/>
    <mergeCell ref="AS65:AT65"/>
    <mergeCell ref="AS66:AT66"/>
    <mergeCell ref="AS62:AT62"/>
    <mergeCell ref="AQ81:AR81"/>
    <mergeCell ref="AS81:AT81"/>
    <mergeCell ref="G51:H51"/>
    <mergeCell ref="I51:J51"/>
    <mergeCell ref="AQ77:AR77"/>
    <mergeCell ref="AS77:AT77"/>
    <mergeCell ref="AQ78:AR78"/>
    <mergeCell ref="AS78:AT78"/>
    <mergeCell ref="AQ79:AR79"/>
    <mergeCell ref="AS79:AT79"/>
    <mergeCell ref="AS57:AT57"/>
    <mergeCell ref="AS58:AT58"/>
    <mergeCell ref="AS59:AT59"/>
    <mergeCell ref="AS60:AT60"/>
    <mergeCell ref="AS75:AT75"/>
    <mergeCell ref="AS76:AT76"/>
    <mergeCell ref="AS68:AT68"/>
    <mergeCell ref="AS69:AT69"/>
    <mergeCell ref="AS70:AT70"/>
    <mergeCell ref="AS71:AT71"/>
    <mergeCell ref="AQ76:AR76"/>
    <mergeCell ref="AQ68:AR68"/>
    <mergeCell ref="AQ69:AR69"/>
    <mergeCell ref="AQ70:AR70"/>
    <mergeCell ref="I64:J64"/>
    <mergeCell ref="G57:H57"/>
    <mergeCell ref="I57:J57"/>
    <mergeCell ref="G60:H60"/>
    <mergeCell ref="I60:J60"/>
    <mergeCell ref="G61:H61"/>
    <mergeCell ref="I61:J61"/>
    <mergeCell ref="AQ80:AR80"/>
    <mergeCell ref="AS80:AT80"/>
    <mergeCell ref="AQ71:AR71"/>
    <mergeCell ref="AQ72:AR72"/>
    <mergeCell ref="T63:U63"/>
    <mergeCell ref="R60:S60"/>
    <mergeCell ref="R61:S61"/>
    <mergeCell ref="R62:S62"/>
    <mergeCell ref="R63:S63"/>
    <mergeCell ref="T60:U60"/>
    <mergeCell ref="T61:U61"/>
    <mergeCell ref="T62:U62"/>
    <mergeCell ref="AS72:AT72"/>
    <mergeCell ref="AS73:AT73"/>
    <mergeCell ref="AS74:AT74"/>
    <mergeCell ref="R57:S57"/>
    <mergeCell ref="R58:S58"/>
    <mergeCell ref="CG50:CH50"/>
    <mergeCell ref="R51:S51"/>
    <mergeCell ref="R52:S52"/>
    <mergeCell ref="R53:S53"/>
    <mergeCell ref="R54:S54"/>
    <mergeCell ref="G74:H74"/>
    <mergeCell ref="I74:J74"/>
    <mergeCell ref="G71:H71"/>
    <mergeCell ref="I71:J71"/>
    <mergeCell ref="G72:H72"/>
    <mergeCell ref="I72:J72"/>
    <mergeCell ref="G73:H73"/>
    <mergeCell ref="I73:J73"/>
    <mergeCell ref="G65:H65"/>
    <mergeCell ref="I65:J65"/>
    <mergeCell ref="G69:H69"/>
    <mergeCell ref="I69:J69"/>
    <mergeCell ref="G70:H70"/>
    <mergeCell ref="I70:J70"/>
    <mergeCell ref="G62:H62"/>
    <mergeCell ref="I62:J62"/>
    <mergeCell ref="G63:H63"/>
    <mergeCell ref="I63:J63"/>
    <mergeCell ref="G64:H64"/>
    <mergeCell ref="R59:S59"/>
    <mergeCell ref="T51:U51"/>
    <mergeCell ref="T52:U52"/>
    <mergeCell ref="T53:U53"/>
    <mergeCell ref="T54:U54"/>
    <mergeCell ref="T55:U55"/>
    <mergeCell ref="T56:U56"/>
    <mergeCell ref="T57:U57"/>
    <mergeCell ref="T58:U58"/>
    <mergeCell ref="T59:U59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profile</vt:lpstr>
      <vt:lpstr>details</vt:lpstr>
      <vt:lpstr>data</vt:lpstr>
      <vt:lpstr>Sheet1</vt:lpstr>
      <vt:lpstr>dwg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Vijay</cp:lastModifiedBy>
  <dcterms:created xsi:type="dcterms:W3CDTF">2010-05-19T22:38:29Z</dcterms:created>
  <dcterms:modified xsi:type="dcterms:W3CDTF">2020-05-29T20:20:48Z</dcterms:modified>
</cp:coreProperties>
</file>